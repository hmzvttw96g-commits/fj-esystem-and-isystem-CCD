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9bdb59a54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352e9128b2954743"/>
    <x:sheet xmlns:r="http://schemas.openxmlformats.org/officeDocument/2006/relationships" name="01_口径总览" sheetId="2" r:id="R5f1ba56419e34f8b"/>
    <x:sheet xmlns:r="http://schemas.openxmlformats.org/officeDocument/2006/relationships" name="02_模型组合" sheetId="3" r:id="R07459d2a9e924ffd"/>
    <x:sheet xmlns:r="http://schemas.openxmlformats.org/officeDocument/2006/relationships" name="03_教育E指标" sheetId="4" r:id="R829899d141884fb1"/>
    <x:sheet xmlns:r="http://schemas.openxmlformats.org/officeDocument/2006/relationships" name="04_产业I指标" sheetId="5" r:id="Rd7b868115ace47b4"/>
    <x:sheet xmlns:r="http://schemas.openxmlformats.org/officeDocument/2006/relationships" name="05_金融F指标" sheetId="6" r:id="R4babde5a860140f4"/>
    <x:sheet xmlns:r="http://schemas.openxmlformats.org/officeDocument/2006/relationships" name="06_总采集清单" sheetId="7" r:id="Rd77dc3707cbd4730"/>
    <x:sheet xmlns:r="http://schemas.openxmlformats.org/officeDocument/2006/relationships" name="07_采集优先级" sheetId="8" r:id="Re413a6e766ab4a34"/>
    <x:sheet xmlns:r="http://schemas.openxmlformats.org/officeDocument/2006/relationships" name="08_边界约束" sheetId="9" r:id="Re51a29b74d1d47ec"/>
    <x:sheet xmlns:r="http://schemas.openxmlformats.org/officeDocument/2006/relationships" name="09_指标数量汇总" sheetId="10" r:id="R4c1cbec8ced8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"/>
      <x:name val="Microsoft YaHei"/>
    </x:font>
    <x:font>
      <x:b/>
      <x:sz val="10"/>
      <x:color rgb="FFFFFF"/>
      <x:name val="Microsoft YaHei"/>
    </x:font>
    <x:font>
      <x:sz val="9"/>
      <x:color rgb="111827"/>
      <x:name val="Microsoft YaHei"/>
    </x:font>
    <x:font>
      <x:b/>
      <x:sz val="10"/>
      <x:color rgb="111827"/>
      <x:name val="Microsoft YaHei"/>
    </x:font>
    <x:font>
      <x:b/>
      <x:sz val="11"/>
      <x:color rgb="11182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"/>
      </x:patternFill>
    </x:fill>
    <x:fill>
      <x:patternFill patternType="solid">
        <x:fgColor theme="4" tint="0"/>
      </x:patternFill>
    </x:fill>
    <x:fill>
      <x:patternFill patternType="solid">
        <x:fgColor theme="2"/>
      </x:patternFill>
    </x:fill>
  </x:fills>
  <x:borders count="12">
    <x:border/>
    <x:border>
      <x:left style="thin">
        <x:color rgb="9CA3AF"/>
      </x:left>
      <x:top style="thin">
        <x:color rgb="9CA3AF"/>
      </x:top>
      <x:bottom style="thin">
        <x:color rgb="9CA3AF"/>
      </x:bottom>
    </x:border>
    <x:border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top style="thin">
        <x:color rgb="9CA3AF"/>
      </x:top>
      <x:bottom style="thin">
        <x:color rgb="9CA3AF"/>
      </x:bottom>
    </x:border>
    <x:border>
      <x:top style="thin">
        <x:color rgb="D1D5DB"/>
      </x:top>
    </x:border>
    <x:border>
      <x:bottom style="thin">
        <x:color rgb="D1D5DB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6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c26f4c01d4fd7" /><Relationship Type="http://schemas.openxmlformats.org/officeDocument/2006/relationships/theme" Target="/xl/theme/theme1.xml" Id="Rf2051a0718444603" /><Relationship Type="http://schemas.openxmlformats.org/officeDocument/2006/relationships/sharedStrings" Target="/xl/sharedStrings.xml" Id="R3911fef4b2ba4f50" /><Relationship Type="http://schemas.openxmlformats.org/officeDocument/2006/relationships/worksheet" Target="/xl/worksheets/sheet1.xml" Id="R352e9128b2954743" /><Relationship Type="http://schemas.openxmlformats.org/officeDocument/2006/relationships/worksheet" Target="/xl/worksheets/sheet2.xml" Id="R5f1ba56419e34f8b" /><Relationship Type="http://schemas.openxmlformats.org/officeDocument/2006/relationships/worksheet" Target="/xl/worksheets/sheet3.xml" Id="R07459d2a9e924ffd" /><Relationship Type="http://schemas.openxmlformats.org/officeDocument/2006/relationships/worksheet" Target="/xl/worksheets/sheet4.xml" Id="R829899d141884fb1" /><Relationship Type="http://schemas.openxmlformats.org/officeDocument/2006/relationships/worksheet" Target="/xl/worksheets/sheet5.xml" Id="Rd7b868115ace47b4" /><Relationship Type="http://schemas.openxmlformats.org/officeDocument/2006/relationships/worksheet" Target="/xl/worksheets/sheet6.xml" Id="R4babde5a860140f4" /><Relationship Type="http://schemas.openxmlformats.org/officeDocument/2006/relationships/worksheet" Target="/xl/worksheets/sheet7.xml" Id="Rd77dc3707cbd4730" /><Relationship Type="http://schemas.openxmlformats.org/officeDocument/2006/relationships/worksheet" Target="/xl/worksheets/sheet8.xml" Id="Re413a6e766ab4a34" /><Relationship Type="http://schemas.openxmlformats.org/officeDocument/2006/relationships/worksheet" Target="/xl/worksheets/sheet9.xml" Id="Re51a29b74d1d47ec" /><Relationship Type="http://schemas.openxmlformats.org/officeDocument/2006/relationships/worksheet" Target="/xl/worksheets/sheet10.xml" Id="R4c1cbec8ced84f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131.22000122070312" hidden="0" customWidth="1"/>
  </x:cols>
  <x:sheetData>
    <x:row r="1" ht="25.5" customHeight="1">
      <x:c r="A1" s="4" t="str">
        <x:v>AI三系统指标口径与数据采集方法</x:v>
      </x:c>
      <x:c r="B1" s="4" t="str"/>
    </x:row>
    <x:row r="3">
      <x:c r="A3" s="13" t="str">
        <x:v>用途</x:v>
      </x:c>
      <x:c r="B3" s="14" t="str">
        <x:v>说明</x:v>
      </x:c>
    </x:row>
    <x:row r="4" ht="43.5" customHeight="1">
      <x:c r="A4" s="39" t="str">
        <x:v>工作簿定位</x:v>
      </x:c>
      <x:c r="B4" s="29" t="str">
        <x:v>用于论文中AI教育供给、AI产业发展、金融支持三系统的口径设定、口径检验和后续数据采集。</x:v>
      </x:c>
    </x:row>
    <x:row r="5" ht="43.5" customHeight="1">
      <x:c r="A5" s="40" t="str">
        <x:v>核心逻辑</x:v>
      </x:c>
      <x:c r="B5" s="35" t="str">
        <x:v>保守口径 ⊂ 基本口径 ⊂ 扩大口径；正文主模型建议采用基本口径，保守和扩大口径用于稳健性检验。</x:v>
      </x:c>
    </x:row>
    <x:row r="6" ht="43.5" customHeight="1">
      <x:c r="A6" s="40" t="str">
        <x:v>主模型建议</x:v>
      </x:c>
      <x:c r="B6" s="31" t="str">
        <x:v>E2基本口径 + I2基本口径 + F2基本口径。</x:v>
      </x:c>
    </x:row>
    <x:row r="7" ht="43.5" customHeight="1">
      <x:c r="A7" s="40" t="str">
        <x:v>关键约束</x:v>
      </x:c>
      <x:c r="B7" s="35" t="str">
        <x:v>凡是融资、贷款、基金、担保、资本市场、数字金融等“钱和金融服务”指标，优先归入金融系统F，不进入产业系统I。</x:v>
      </x:c>
    </x:row>
    <x:row r="8" ht="43.5" customHeight="1">
      <x:c r="A8" s="40" t="str">
        <x:v>产业吸纳机制</x:v>
      </x:c>
      <x:c r="B8" s="31" t="str">
        <x:v>第三产业AI应用强度建议作为异质性变量或机制变量，而不是直接作为AI产业发展本体。</x:v>
      </x:c>
    </x:row>
    <x:row r="9" ht="43.5" customHeight="1">
      <x:c r="A9" s="41" t="str">
        <x:v>数据优先级</x:v>
      </x:c>
      <x:c r="B9" s="37" t="str">
        <x:v>优先选择可复核、可逐年追踪、可按地区汇总的公开数据；过度依赖新闻和报告的指标只作为补充。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34.31999969482422" hidden="0" customWidth="1"/>
    <x:col min="3" max="3" width="39.70000076293945" hidden="0" customWidth="1"/>
    <x:col min="4" max="4" width="42.400001525878906" hidden="0" customWidth="1"/>
    <x:col min="5" max="5" width="28.940000534057617" hidden="0" customWidth="1"/>
    <x:col min="6" max="6" width="42.400001525878906" hidden="0" customWidth="1"/>
    <x:col min="7" max="7" width="39.70000076293945" hidden="0" customWidth="1"/>
  </x:cols>
  <x:sheetData>
    <x:row r="1" ht="25.5" customHeight="1">
      <x:c r="A1" s="4" t="str">
        <x:v>三系统口径总览</x:v>
      </x:c>
      <x:c r="B1" s="4" t="str"/>
      <x:c r="C1" s="4" t="str"/>
      <x:c r="D1" s="4" t="str"/>
      <x:c r="E1" s="4" t="str"/>
      <x:c r="F1" s="4" t="str"/>
      <x:c r="G1" s="4" t="str"/>
    </x:row>
    <x:row r="3">
      <x:c r="A3" s="13" t="str">
        <x:v>系统</x:v>
      </x:c>
      <x:c r="B3" s="45" t="str">
        <x:v>保守口径</x:v>
      </x:c>
      <x:c r="C3" s="45" t="str">
        <x:v>基本口径</x:v>
      </x:c>
      <x:c r="D3" s="45" t="str">
        <x:v>扩大口径</x:v>
      </x:c>
      <x:c r="E3" s="45" t="str">
        <x:v>推荐用途</x:v>
      </x:c>
      <x:c r="F3" s="45" t="str">
        <x:v>主模型建议</x:v>
      </x:c>
      <x:c r="G3" s="14" t="str">
        <x:v>关键边界</x:v>
      </x:c>
    </x:row>
    <x:row r="4" ht="54" customHeight="1">
      <x:c r="A4" s="28" t="str">
        <x:v>教育系统 E</x:v>
      </x:c>
      <x:c r="B4" s="51" t="str">
        <x:v>只统计明确以人工智能命名的专业、学院、平台。</x:v>
      </x:c>
      <x:c r="C4" s="51" t="str">
        <x:v>AI核心专业群、AI培养平台、核心课程和师资。</x:v>
      </x:c>
      <x:c r="D4" s="51" t="str">
        <x:v>加入AI支撑专业、AI+X课程、竞赛基地、高校AI论文/专利。</x:v>
      </x:c>
      <x:c r="E4" s="51" t="str">
        <x:v>衡量AI人才和知识供给。</x:v>
      </x:c>
      <x:c r="F4" s="51" t="str">
        <x:v>E2_CORE_MAJOR_COUNT + E2_CORE_SCHOOL_COUNT，视数据补入招生计划。</x:v>
      </x:c>
      <x:c r="G4" s="29" t="str">
        <x:v>高校论文/专利是知识产出，建议拓展或单列。</x:v>
      </x:c>
    </x:row>
    <x:row r="5" ht="54" customHeight="1">
      <x:c r="A5" s="34" t="str">
        <x:v>产业系统 I</x:v>
      </x:c>
      <x:c r="B5" s="54" t="str">
        <x:v>只统计AI核心企业、核心专利、AI软著、算法备案。</x:v>
      </x:c>
      <x:c r="C5" s="54" t="str">
        <x:v>AI相关企业、高企、岗位、企业AI专利、AI产品服务。</x:v>
      </x:c>
      <x:c r="D5" s="54" t="str">
        <x:v>加入智慧医疗、智慧教育、智慧政务、智能制造、数字经济应用场景。</x:v>
      </x:c>
      <x:c r="E5" s="54" t="str">
        <x:v>衡量AI产业承接和商业化。</x:v>
      </x:c>
      <x:c r="F5" s="54" t="str">
        <x:v>I2_AI_FIRM_COUNT + I2_AI_JOB_COUNT + I2_AI_PATENT_TOTAL。</x:v>
      </x:c>
      <x:c r="G5" s="35" t="str">
        <x:v>企业融资、贷款、基金不能放I，应放F。</x:v>
      </x:c>
    </x:row>
    <x:row r="6" ht="54" customHeight="1">
      <x:c r="A6" s="32" t="str">
        <x:v>金融系统 F</x:v>
      </x:c>
      <x:c r="B6" s="53" t="str">
        <x:v>直接面向AI企业/AI项目的融资、贷款、政府基金。</x:v>
      </x:c>
      <x:c r="C6" s="53" t="str">
        <x:v>科技贷款、知识产权质押、创投活跃度、政府引导基金、数字普惠金融。</x:v>
      </x:c>
      <x:c r="D6" s="53" t="str">
        <x:v>总体金融发展、资本市场、保险担保、金融科技环境。</x:v>
      </x:c>
      <x:c r="E6" s="53" t="str">
        <x:v>衡量金融支持和转化条件。</x:v>
      </x:c>
      <x:c r="F6" s="53" t="str">
        <x:v>F2_TECH_LOAN_BALANCE + F2_DIGITAL_FINANCE_INDEX + F2_VC_ACTIVITY/基金。</x:v>
      </x:c>
      <x:c r="G6" s="33" t="str">
        <x:v>所有钱、融资、贷款、基金、担保优先归F。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23.549999237060547" hidden="0" customWidth="1"/>
    <x:col min="3" max="3" width="24.899999618530273" hidden="0" customWidth="1"/>
    <x:col min="4" max="4" width="24.899999618530273" hidden="0" customWidth="1"/>
    <x:col min="5" max="5" width="69.30999755859375" hidden="0" customWidth="1"/>
  </x:cols>
  <x:sheetData>
    <x:row r="1" ht="25.5" customHeight="1">
      <x:c r="A1" s="4" t="str">
        <x:v>主模型与口径检验组合</x:v>
      </x:c>
      <x:c r="B1" s="4" t="str"/>
      <x:c r="C1" s="4" t="str"/>
      <x:c r="D1" s="4" t="str"/>
      <x:c r="E1" s="4" t="str"/>
    </x:row>
    <x:row r="3">
      <x:c r="A3" s="13" t="str">
        <x:v>用途</x:v>
      </x:c>
      <x:c r="B3" s="45" t="str">
        <x:v>教育系统</x:v>
      </x:c>
      <x:c r="C3" s="45" t="str">
        <x:v>产业系统</x:v>
      </x:c>
      <x:c r="D3" s="45" t="str">
        <x:v>金融系统</x:v>
      </x:c>
      <x:c r="E3" s="14" t="str">
        <x:v>解释</x:v>
      </x:c>
    </x:row>
    <x:row r="4" ht="54" customHeight="1">
      <x:c r="A4" s="28" t="str">
        <x:v>主模型</x:v>
      </x:c>
      <x:c r="B4" s="51" t="str">
        <x:v>E2 基本口径</x:v>
      </x:c>
      <x:c r="C4" s="51" t="str">
        <x:v>I2 基本口径</x:v>
      </x:c>
      <x:c r="D4" s="51" t="str">
        <x:v>F2 基本口径</x:v>
      </x:c>
      <x:c r="E4" s="29" t="str">
        <x:v>在可得性和理论边界之间最平衡，用于正文主结果。</x:v>
      </x:c>
    </x:row>
    <x:row r="5" ht="54" customHeight="1">
      <x:c r="A5" s="34" t="str">
        <x:v>保守口径检验</x:v>
      </x:c>
      <x:c r="B5" s="54" t="str">
        <x:v>E1 保守口径</x:v>
      </x:c>
      <x:c r="C5" s="54" t="str">
        <x:v>I1 保守口径</x:v>
      </x:c>
      <x:c r="D5" s="54" t="str">
        <x:v>F1 保守口径</x:v>
      </x:c>
      <x:c r="E5" s="35" t="str">
        <x:v>检验结论是否依赖宽泛AI定义；若仍成立，说服力最强。</x:v>
      </x:c>
    </x:row>
    <x:row r="6" ht="54" customHeight="1">
      <x:c r="A6" s="30" t="str">
        <x:v>扩大口径检验</x:v>
      </x:c>
      <x:c r="B6" s="52" t="str">
        <x:v>E3 扩大口径</x:v>
      </x:c>
      <x:c r="C6" s="52" t="str">
        <x:v>I3 扩大口径</x:v>
      </x:c>
      <x:c r="D6" s="52" t="str">
        <x:v>F3 扩大口径</x:v>
      </x:c>
      <x:c r="E6" s="31" t="str">
        <x:v>检验AI外延扩展、数字化应用扩展后结论是否稳健。</x:v>
      </x:c>
    </x:row>
    <x:row r="7" ht="54" customHeight="1">
      <x:c r="A7" s="36" t="str">
        <x:v>异质性/机制</x:v>
      </x:c>
      <x:c r="B7" s="55" t="str">
        <x:v>E2或E3</x:v>
      </x:c>
      <x:c r="C7" s="55" t="str">
        <x:v>I2 + 第三产业AI应用强度</x:v>
      </x:c>
      <x:c r="D7" s="55" t="str">
        <x:v>F2</x:v>
      </x:c>
      <x:c r="E7" s="37" t="str">
        <x:v>第三产业AI应用强度建议作为产业吸纳机制，不作为AI产业本体。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0.190000534057617" hidden="0" customWidth="1"/>
    <x:col min="3" max="3" width="11.170000076293945" hidden="0" customWidth="1"/>
    <x:col min="4" max="4" width="23.549999237060547" hidden="0" customWidth="1"/>
    <x:col min="5" max="5" width="43.7400016784668" hidden="0" customWidth="1"/>
    <x:col min="6" max="6" width="9.420000076293945" hidden="0" customWidth="1"/>
    <x:col min="7" max="7" width="16.81999969482422" hidden="0" customWidth="1"/>
    <x:col min="8" max="8" width="31.6299991607666" hidden="0" customWidth="1"/>
    <x:col min="9" max="9" width="34.31999969482422" hidden="0" customWidth="1"/>
    <x:col min="10" max="10" width="43.7400016784668" hidden="0" customWidth="1"/>
    <x:col min="11" max="11" width="37.0099983215332" hidden="0" customWidth="1"/>
    <x:col min="12" max="12" width="16.81999969482422" hidden="0" customWidth="1"/>
    <x:col min="13" max="13" width="19.520000457763672" hidden="0" customWidth="1"/>
    <x:col min="14" max="14" width="10.770000457763672" hidden="0" customWidth="1"/>
    <x:col min="15" max="15" width="43.7400016784668" hidden="0" customWidth="1"/>
  </x:cols>
  <x:sheetData>
    <x:row r="1" ht="25.5" customHeight="1">
      <x:c r="A1" s="4" t="str">
        <x:v>教育系统 E：AI教育供给指标口径与采集方法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3">
      <x:c r="A3" s="13" t="str">
        <x:v>系统</x:v>
      </x:c>
      <x:c r="B3" s="45" t="str">
        <x:v>变量代码</x:v>
      </x:c>
      <x:c r="C3" s="45" t="str">
        <x:v>口径层级</x:v>
      </x:c>
      <x:c r="D3" s="45" t="str">
        <x:v>指标名称</x:v>
      </x:c>
      <x:c r="E3" s="45" t="str">
        <x:v>指标解释/纳入边界</x:v>
      </x:c>
      <x:c r="F3" s="45" t="str">
        <x:v>是否主模型</x:v>
      </x:c>
      <x:c r="G3" s="45" t="str">
        <x:v>口径检验用途</x:v>
      </x:c>
      <x:c r="H3" s="45" t="str">
        <x:v>金融系统边界约束</x:v>
      </x:c>
      <x:c r="I3" s="45" t="str">
        <x:v>推荐数据源</x:v>
      </x:c>
      <x:c r="J3" s="45" t="str">
        <x:v>采集方法</x:v>
      </x:c>
      <x:c r="K3" s="45" t="str">
        <x:v>检索关键词/识别规则</x:v>
      </x:c>
      <x:c r="L3" s="45" t="str">
        <x:v>数据粒度</x:v>
      </x:c>
      <x:c r="M3" s="45" t="str">
        <x:v>年份可得性</x:v>
      </x:c>
      <x:c r="N3" s="45" t="str">
        <x:v>数据难度</x:v>
      </x:c>
      <x:c r="O3" s="14" t="str">
        <x:v>核验要点/备注</x:v>
      </x:c>
    </x:row>
    <x:row r="4" ht="54" customHeight="1">
      <x:c r="A4" s="28" t="str">
        <x:v>教育系统 E</x:v>
      </x:c>
      <x:c r="B4" s="51" t="str">
        <x:v>E1_AI_MAJOR_COUNT</x:v>
      </x:c>
      <x:c r="C4" s="51" t="str">
        <x:v>保守口径</x:v>
      </x:c>
      <x:c r="D4" s="51" t="str">
        <x:v>人工智能专业数量</x:v>
      </x:c>
      <x:c r="E4" s="51" t="str">
        <x:v>只统计本科专业名称明确为“人工智能”的专业点。</x:v>
      </x:c>
      <x:c r="F4" s="51" t="str">
        <x:v>否</x:v>
      </x:c>
      <x:c r="G4" s="51" t="str">
        <x:v>底线检验</x:v>
      </x:c>
      <x:c r="H4" s="51" t="str">
        <x:v>不涉及金融变量。</x:v>
      </x:c>
      <x:c r="I4" s="51" t="str">
        <x:v>教育部本科专业备案与审批结果；福建省教育厅；高校官网</x:v>
      </x:c>
      <x:c r="J4" s="51" t="str">
        <x:v>逐年下载教育部专业备案/审批文件，按学校所在省份、专业名称、年度计数。</x:v>
      </x:c>
      <x:c r="K4" s="51" t="str">
        <x:v>专业名称=人工智能；省份=福建或省际样本</x:v>
      </x:c>
      <x:c r="L4" s="51" t="str">
        <x:v>省份-年份/高校-年份</x:v>
      </x:c>
      <x:c r="M4" s="51" t="str">
        <x:v>2018年后较可得，以教育部实际文件为准</x:v>
      </x:c>
      <x:c r="N4" s="51" t="str">
        <x:v>低</x:v>
      </x:c>
      <x:c r="O4" s="29" t="str">
        <x:v>最干净，但样本可能偏小，适合作为保守口径。</x:v>
      </x:c>
    </x:row>
    <x:row r="5" ht="54" customHeight="1">
      <x:c r="A5" s="34" t="str">
        <x:v>教育系统 E</x:v>
      </x:c>
      <x:c r="B5" s="54" t="str">
        <x:v>E1_AI_SCHOOL_COUNT</x:v>
      </x:c>
      <x:c r="C5" s="54" t="str">
        <x:v>保守口径</x:v>
      </x:c>
      <x:c r="D5" s="54" t="str">
        <x:v>开设人工智能专业高校数量</x:v>
      </x:c>
      <x:c r="E5" s="54" t="str">
        <x:v>统计至少开设一个人工智能专业的高校数量。</x:v>
      </x:c>
      <x:c r="F5" s="54" t="str">
        <x:v>否</x:v>
      </x:c>
      <x:c r="G5" s="54" t="str">
        <x:v>底线检验</x:v>
      </x:c>
      <x:c r="H5" s="54" t="str">
        <x:v>不涉及金融变量。</x:v>
      </x:c>
      <x:c r="I5" s="54" t="str">
        <x:v>教育部本科专业备案与审批结果；高校招生网</x:v>
      </x:c>
      <x:c r="J5" s="54" t="str">
        <x:v>从专业备案表去重高校名称，按省份和年份汇总。</x:v>
      </x:c>
      <x:c r="K5" s="54" t="str">
        <x:v>专业名称=人工智能；高校名称去重</x:v>
      </x:c>
      <x:c r="L5" s="54" t="str">
        <x:v>省份-年份</x:v>
      </x:c>
      <x:c r="M5" s="54" t="str">
        <x:v>2018年后较可得</x:v>
      </x:c>
      <x:c r="N5" s="54" t="str">
        <x:v>低</x:v>
      </x:c>
      <x:c r="O5" s="35" t="str">
        <x:v>比专业数量更稳，能避免同一高校多个专业方向重复计数。</x:v>
      </x:c>
    </x:row>
    <x:row r="6" ht="54" customHeight="1">
      <x:c r="A6" s="30" t="str">
        <x:v>教育系统 E</x:v>
      </x:c>
      <x:c r="B6" s="52" t="str">
        <x:v>E1_AI_INSTITUTE_COUNT</x:v>
      </x:c>
      <x:c r="C6" s="52" t="str">
        <x:v>保守口径</x:v>
      </x:c>
      <x:c r="D6" s="52" t="str">
        <x:v>人工智能学院/研究院数量</x:v>
      </x:c>
      <x:c r="E6" s="52" t="str">
        <x:v>只纳入校内机构名称明确包含人工智能的学院、研究院、中心。</x:v>
      </x:c>
      <x:c r="F6" s="52" t="str">
        <x:v>否</x:v>
      </x:c>
      <x:c r="G6" s="52" t="str">
        <x:v>底线检验</x:v>
      </x:c>
      <x:c r="H6" s="52" t="str">
        <x:v>不涉及金融变量。</x:v>
      </x:c>
      <x:c r="I6" s="52" t="str">
        <x:v>高校官网；福建省教育厅；学校组织机构页面</x:v>
      </x:c>
      <x:c r="J6" s="52" t="str">
        <x:v>用高校名单逐校检索官网，人工核验机构名称和成立时间。</x:v>
      </x:c>
      <x:c r="K6" s="52" t="str">
        <x:v>人工智能学院；人工智能研究院；人工智能研究中心</x:v>
      </x:c>
      <x:c r="L6" s="52" t="str">
        <x:v>高校-年份/省份-年份</x:v>
      </x:c>
      <x:c r="M6" s="52" t="str">
        <x:v>需人工整理，部分年份不完整</x:v>
      </x:c>
      <x:c r="N6" s="52" t="str">
        <x:v>中</x:v>
      </x:c>
      <x:c r="O6" s="31" t="str">
        <x:v>可作为教育组织形态证据，不建议单独作为核心变量。</x:v>
      </x:c>
    </x:row>
    <x:row r="7" ht="54" customHeight="1">
      <x:c r="A7" s="34" t="str">
        <x:v>教育系统 E</x:v>
      </x:c>
      <x:c r="B7" s="54" t="str">
        <x:v>E1_AI_GRAD_POINT</x:v>
      </x:c>
      <x:c r="C7" s="54" t="str">
        <x:v>保守口径</x:v>
      </x:c>
      <x:c r="D7" s="54" t="str">
        <x:v>AI相关硕博点/研究方向数量</x:v>
      </x:c>
      <x:c r="E7" s="54" t="str">
        <x:v>只纳入学位授权点或招生目录中明确标注人工智能、模式识别、机器学习等方向的硕博培养点。</x:v>
      </x:c>
      <x:c r="F7" s="54" t="str">
        <x:v>否</x:v>
      </x:c>
      <x:c r="G7" s="54" t="str">
        <x:v>底线检验</x:v>
      </x:c>
      <x:c r="H7" s="54" t="str">
        <x:v>不涉及金融变量。</x:v>
      </x:c>
      <x:c r="I7" s="54" t="str">
        <x:v>国务院学位委员会；研招网；高校研究生院招生目录</x:v>
      </x:c>
      <x:c r="J7" s="54" t="str">
        <x:v>下载学位点名单和研究生招生目录，按学科方向关键词识别。</x:v>
      </x:c>
      <x:c r="K7" s="54" t="str">
        <x:v>人工智能；模式识别；机器学习；计算机视觉；自然语言处理</x:v>
      </x:c>
      <x:c r="L7" s="54" t="str">
        <x:v>高校-年份/省份-年份</x:v>
      </x:c>
      <x:c r="M7" s="54" t="str">
        <x:v>年度连续性一般</x:v>
      </x:c>
      <x:c r="N7" s="54" t="str">
        <x:v>中-高</x:v>
      </x:c>
      <x:c r="O7" s="35" t="str">
        <x:v>更能体现高层次人才培养，但口径需要人工复核。</x:v>
      </x:c>
    </x:row>
    <x:row r="8" ht="54" customHeight="1">
      <x:c r="A8" s="30" t="str">
        <x:v>教育系统 E</x:v>
      </x:c>
      <x:c r="B8" s="52" t="str">
        <x:v>E2_CORE_MAJOR_COUNT</x:v>
      </x:c>
      <x:c r="C8" s="52" t="str">
        <x:v>基本口径</x:v>
      </x:c>
      <x:c r="D8" s="52" t="str">
        <x:v>AI核心专业群数量</x:v>
      </x:c>
      <x:c r="E8" s="52" t="str">
        <x:v>纳入人工智能、智能科学与技术、数据科学与大数据技术、机器人工程、智能制造工程等强相关专业。</x:v>
      </x:c>
      <x:c r="F8" s="52" t="str">
        <x:v>是</x:v>
      </x:c>
      <x:c r="G8" s="52" t="str">
        <x:v>主结果</x:v>
      </x:c>
      <x:c r="H8" s="52" t="str">
        <x:v>不涉及金融变量。</x:v>
      </x:c>
      <x:c r="I8" s="52" t="str">
        <x:v>教育部专业备案；高校招生专业目录；省教育厅</x:v>
      </x:c>
      <x:c r="J8" s="52" t="str">
        <x:v>建立AI核心专业关键词表，按专业名称匹配并按省份-年份计数。</x:v>
      </x:c>
      <x:c r="K8" s="52" t="str">
        <x:v>人工智能；智能科学与技术；数据科学与大数据技术；机器人工程；智能制造工程</x:v>
      </x:c>
      <x:c r="L8" s="52" t="str">
        <x:v>省份-年份/高校-年份</x:v>
      </x:c>
      <x:c r="M8" s="52" t="str">
        <x:v>多数专业2015年后逐步可得</x:v>
      </x:c>
      <x:c r="N8" s="52" t="str">
        <x:v>中</x:v>
      </x:c>
      <x:c r="O8" s="31" t="str">
        <x:v>推荐作为主模型E变量的核心口径。</x:v>
      </x:c>
    </x:row>
    <x:row r="9" ht="54" customHeight="1">
      <x:c r="A9" s="34" t="str">
        <x:v>教育系统 E</x:v>
      </x:c>
      <x:c r="B9" s="54" t="str">
        <x:v>E2_CORE_SCHOOL_COUNT</x:v>
      </x:c>
      <x:c r="C9" s="54" t="str">
        <x:v>基本口径</x:v>
      </x:c>
      <x:c r="D9" s="54" t="str">
        <x:v>开设AI核心专业群高校数量</x:v>
      </x:c>
      <x:c r="E9" s="54" t="str">
        <x:v>统计开设至少一个AI核心专业群专业的高校数量。</x:v>
      </x:c>
      <x:c r="F9" s="54" t="str">
        <x:v>是</x:v>
      </x:c>
      <x:c r="G9" s="54" t="str">
        <x:v>主结果</x:v>
      </x:c>
      <x:c r="H9" s="54" t="str">
        <x:v>不涉及金融变量。</x:v>
      </x:c>
      <x:c r="I9" s="54" t="str">
        <x:v>教育部专业备案；高校招生网</x:v>
      </x:c>
      <x:c r="J9" s="54" t="str">
        <x:v>按AI核心专业群匹配后，对高校名称去重汇总。</x:v>
      </x:c>
      <x:c r="K9" s="54" t="str">
        <x:v>AI核心专业群关键词；高校去重</x:v>
      </x:c>
      <x:c r="L9" s="54" t="str">
        <x:v>省份-年份</x:v>
      </x:c>
      <x:c r="M9" s="54" t="str">
        <x:v>较可得</x:v>
      </x:c>
      <x:c r="N9" s="54" t="str">
        <x:v>中</x:v>
      </x:c>
      <x:c r="O9" s="35" t="str">
        <x:v>可降低单校多专业带来的重复扩张。</x:v>
      </x:c>
    </x:row>
    <x:row r="10" ht="54" customHeight="1">
      <x:c r="A10" s="30" t="str">
        <x:v>教育系统 E</x:v>
      </x:c>
      <x:c r="B10" s="52" t="str">
        <x:v>E2_ENROLL_PLAN</x:v>
      </x:c>
      <x:c r="C10" s="52" t="str">
        <x:v>基本口径</x:v>
      </x:c>
      <x:c r="D10" s="52" t="str">
        <x:v>AI核心专业招生计划人数</x:v>
      </x:c>
      <x:c r="E10" s="52" t="str">
        <x:v>AI核心专业群的招生计划或实际招生人数。</x:v>
      </x:c>
      <x:c r="F10" s="52" t="str">
        <x:v>可选</x:v>
      </x:c>
      <x:c r="G10" s="52" t="str">
        <x:v>主结果增强</x:v>
      </x:c>
      <x:c r="H10" s="52" t="str">
        <x:v>不涉及金融变量。</x:v>
      </x:c>
      <x:c r="I10" s="52" t="str">
        <x:v>高校招生计划；阳光高考；省教育考试院</x:v>
      </x:c>
      <x:c r="J10" s="52" t="str">
        <x:v>抓取或人工下载各校招生计划，按专业关键词和省份汇总。</x:v>
      </x:c>
      <x:c r="K10" s="52" t="str">
        <x:v>AI核心专业名称；招生计划；专业代码</x:v>
      </x:c>
      <x:c r="L10" s="52" t="str">
        <x:v>高校-年份/省份-年份</x:v>
      </x:c>
      <x:c r="M10" s="52" t="str">
        <x:v>公开但格式分散</x:v>
      </x:c>
      <x:c r="N10" s="52" t="str">
        <x:v>高</x:v>
      </x:c>
      <x:c r="O10" s="31" t="str">
        <x:v>若难以连续获取，可先用专业数量替代。</x:v>
      </x:c>
    </x:row>
    <x:row r="11" ht="54" customHeight="1">
      <x:c r="A11" s="34" t="str">
        <x:v>教育系统 E</x:v>
      </x:c>
      <x:c r="B11" s="54" t="str">
        <x:v>E2_AI_PLATFORM_COUNT</x:v>
      </x:c>
      <x:c r="C11" s="54" t="str">
        <x:v>基本口径</x:v>
      </x:c>
      <x:c r="D11" s="54" t="str">
        <x:v>AI相关重点实验室/产业学院/协同创新平台数量</x:v>
      </x:c>
      <x:c r="E11" s="54" t="str">
        <x:v>纳入名称或研究方向明确与AI相关的实验室、产业学院、协同创新中心。</x:v>
      </x:c>
      <x:c r="F11" s="54" t="str">
        <x:v>可选</x:v>
      </x:c>
      <x:c r="G11" s="54" t="str">
        <x:v>主结果增强</x:v>
      </x:c>
      <x:c r="H11" s="54" t="str">
        <x:v>若平台由基金资助，不把资金金额计入E。</x:v>
      </x:c>
      <x:c r="I11" s="54" t="str">
        <x:v>高校官网；教育部/科技厅平台名单；省教育厅</x:v>
      </x:c>
      <x:c r="J11" s="54" t="str">
        <x:v>收集官方平台名单，按名称和研究方向关键词识别。</x:v>
      </x:c>
      <x:c r="K11" s="54" t="str">
        <x:v>人工智能；智能计算；机器学习；智能制造；大数据智能</x:v>
      </x:c>
      <x:c r="L11" s="54" t="str">
        <x:v>高校-年份/省份-年份</x:v>
      </x:c>
      <x:c r="M11" s="54" t="str">
        <x:v>名单可得，年份需核验</x:v>
      </x:c>
      <x:c r="N11" s="54" t="str">
        <x:v>中-高</x:v>
      </x:c>
      <x:c r="O11" s="35" t="str">
        <x:v>体现产教融合载体，但不宜与金融支持混同。</x:v>
      </x:c>
    </x:row>
    <x:row r="12" ht="54" customHeight="1">
      <x:c r="A12" s="30" t="str">
        <x:v>教育系统 E</x:v>
      </x:c>
      <x:c r="B12" s="52" t="str">
        <x:v>E2_AI_COURSE_COVERAGE</x:v>
      </x:c>
      <x:c r="C12" s="52" t="str">
        <x:v>基本口径</x:v>
      </x:c>
      <x:c r="D12" s="52" t="str">
        <x:v>AI核心课程覆盖度</x:v>
      </x:c>
      <x:c r="E12" s="52" t="str">
        <x:v>机器学习、深度学习、NLP、CV、数据挖掘、AI伦理等课程在培养方案中的覆盖情况。</x:v>
      </x:c>
      <x:c r="F12" s="52" t="str">
        <x:v>可选</x:v>
      </x:c>
      <x:c r="G12" s="52" t="str">
        <x:v>机制解释</x:v>
      </x:c>
      <x:c r="H12" s="52" t="str">
        <x:v>不涉及金融变量。</x:v>
      </x:c>
      <x:c r="I12" s="52" t="str">
        <x:v>高校培养方案；学院官网；课程大纲</x:v>
      </x:c>
      <x:c r="J12" s="52" t="str">
        <x:v>抽取培养方案PDF/网页，按课程关键词计数或构造覆盖率。</x:v>
      </x:c>
      <x:c r="K12" s="52" t="str">
        <x:v>机器学习；深度学习；自然语言处理；计算机视觉；数据挖掘；AI伦理</x:v>
      </x:c>
      <x:c r="L12" s="52" t="str">
        <x:v>高校-年份</x:v>
      </x:c>
      <x:c r="M12" s="52" t="str">
        <x:v>人工整理为主</x:v>
      </x:c>
      <x:c r="N12" s="52" t="str">
        <x:v>高</x:v>
      </x:c>
      <x:c r="O12" s="31" t="str">
        <x:v>很能支撑AI教育独立性，但大样本采集成本高。</x:v>
      </x:c>
    </x:row>
    <x:row r="13" ht="54" customHeight="1">
      <x:c r="A13" s="34" t="str">
        <x:v>教育系统 E</x:v>
      </x:c>
      <x:c r="B13" s="54" t="str">
        <x:v>E2_AI_TEACHER_COUNT</x:v>
      </x:c>
      <x:c r="C13" s="54" t="str">
        <x:v>基本口径</x:v>
      </x:c>
      <x:c r="D13" s="54" t="str">
        <x:v>AI方向教师/导师数量</x:v>
      </x:c>
      <x:c r="E13" s="54" t="str">
        <x:v>教师研究方向明确包含AI核心技术的专任教师或导师数量。</x:v>
      </x:c>
      <x:c r="F13" s="54" t="str">
        <x:v>可选</x:v>
      </x:c>
      <x:c r="G13" s="54" t="str">
        <x:v>机制解释</x:v>
      </x:c>
      <x:c r="H13" s="54" t="str">
        <x:v>不涉及金融变量。</x:v>
      </x:c>
      <x:c r="I13" s="54" t="str">
        <x:v>高校教师主页；学院师资页面；研究生导师库</x:v>
      </x:c>
      <x:c r="J13" s="54" t="str">
        <x:v>逐校抓取师资页面，按研究方向关键词识别并人工抽样核验。</x:v>
      </x:c>
      <x:c r="K13" s="54" t="str">
        <x:v>人工智能；机器学习；深度学习；NLP；CV；智能计算</x:v>
      </x:c>
      <x:c r="L13" s="54" t="str">
        <x:v>高校-年份</x:v>
      </x:c>
      <x:c r="M13" s="54" t="str">
        <x:v>年度连续性弱</x:v>
      </x:c>
      <x:c r="N13" s="54" t="str">
        <x:v>高</x:v>
      </x:c>
      <x:c r="O13" s="35" t="str">
        <x:v>可作为教育能力补充，不建议作为主变量。</x:v>
      </x:c>
    </x:row>
    <x:row r="14" ht="54" customHeight="1">
      <x:c r="A14" s="30" t="str">
        <x:v>教育系统 E</x:v>
      </x:c>
      <x:c r="B14" s="52" t="str">
        <x:v>E3_SUPPORT_MAJOR_COUNT</x:v>
      </x:c>
      <x:c r="C14" s="52" t="str">
        <x:v>扩大口径</x:v>
      </x:c>
      <x:c r="D14" s="52" t="str">
        <x:v>AI支撑专业数量</x:v>
      </x:c>
      <x:c r="E14" s="52" t="str">
        <x:v>在基本口径基础上加入计算机科学与技术、软件工程、自动化、电子信息、物联网工程等支撑专业。</x:v>
      </x:c>
      <x:c r="F14" s="52" t="str">
        <x:v>否</x:v>
      </x:c>
      <x:c r="G14" s="52" t="str">
        <x:v>扩大口径检验</x:v>
      </x:c>
      <x:c r="H14" s="52" t="str">
        <x:v>不涉及金融变量。</x:v>
      </x:c>
      <x:c r="I14" s="52" t="str">
        <x:v>教育部专业备案；高校招生目录</x:v>
      </x:c>
      <x:c r="J14" s="52" t="str">
        <x:v>建立AI支撑专业清单，按专业名称匹配并汇总。</x:v>
      </x:c>
      <x:c r="K14" s="52" t="str">
        <x:v>计算机科学与技术；软件工程；自动化；电子信息；物联网工程；网络工程</x:v>
      </x:c>
      <x:c r="L14" s="52" t="str">
        <x:v>省份-年份/高校-年份</x:v>
      </x:c>
      <x:c r="M14" s="52" t="str">
        <x:v>较可得</x:v>
      </x:c>
      <x:c r="N14" s="52" t="str">
        <x:v>中</x:v>
      </x:c>
      <x:c r="O14" s="31" t="str">
        <x:v>口径较宽，必须说明用于稳健性而非主结论。</x:v>
      </x:c>
    </x:row>
    <x:row r="15" ht="54" customHeight="1">
      <x:c r="A15" s="34" t="str">
        <x:v>教育系统 E</x:v>
      </x:c>
      <x:c r="B15" s="54" t="str">
        <x:v>E3_AI_X_COURSE_COUNT</x:v>
      </x:c>
      <x:c r="C15" s="54" t="str">
        <x:v>扩大口径</x:v>
      </x:c>
      <x:c r="D15" s="54" t="str">
        <x:v>AI+X课程/通识课程数量</x:v>
      </x:c>
      <x:c r="E15" s="54" t="str">
        <x:v>面向非计算机专业的AI通识课、AI+金融、AI+医学、AI+制造等跨学科课程。</x:v>
      </x:c>
      <x:c r="F15" s="54" t="str">
        <x:v>否</x:v>
      </x:c>
      <x:c r="G15" s="54" t="str">
        <x:v>扩大口径检验</x:v>
      </x:c>
      <x:c r="H15" s="54" t="str">
        <x:v>不涉及金融变量。</x:v>
      </x:c>
      <x:c r="I15" s="54" t="str">
        <x:v>高校教务处；课程中心；培养方案</x:v>
      </x:c>
      <x:c r="J15" s="54" t="str">
        <x:v>抓取课程列表或培养方案，按AI+X关键词计数。</x:v>
      </x:c>
      <x:c r="K15" s="54" t="str">
        <x:v>AI+；人工智能通识；智能金融；智慧医疗；智能制造</x:v>
      </x:c>
      <x:c r="L15" s="54" t="str">
        <x:v>高校-年份</x:v>
      </x:c>
      <x:c r="M15" s="54" t="str">
        <x:v>公开但分散</x:v>
      </x:c>
      <x:c r="N15" s="54" t="str">
        <x:v>高</x:v>
      </x:c>
      <x:c r="O15" s="35" t="str">
        <x:v>适合理论说明AI跨学科扩散，量化难度较大。</x:v>
      </x:c>
    </x:row>
    <x:row r="16" ht="54" customHeight="1">
      <x:c r="A16" s="30" t="str">
        <x:v>教育系统 E</x:v>
      </x:c>
      <x:c r="B16" s="52" t="str">
        <x:v>E3_AI_COMPETITION_BASE</x:v>
      </x:c>
      <x:c r="C16" s="52" t="str">
        <x:v>扩大口径</x:v>
      </x:c>
      <x:c r="D16" s="52" t="str">
        <x:v>AI竞赛/创新实践基地数量</x:v>
      </x:c>
      <x:c r="E16" s="52" t="str">
        <x:v>AI相关学科竞赛、创新创业基地、实训基地。</x:v>
      </x:c>
      <x:c r="F16" s="52" t="str">
        <x:v>否</x:v>
      </x:c>
      <x:c r="G16" s="52" t="str">
        <x:v>扩大口径检验</x:v>
      </x:c>
      <x:c r="H16" s="52" t="str">
        <x:v>涉及企业赞助时只计基地/项目，不计资金。</x:v>
      </x:c>
      <x:c r="I16" s="52" t="str">
        <x:v>高校创新创业学院；教育厅竞赛名单；赛事官网</x:v>
      </x:c>
      <x:c r="J16" s="52" t="str">
        <x:v>按赛事和基地官方名单整理，匹配高校和年份。</x:v>
      </x:c>
      <x:c r="K16" s="52" t="str">
        <x:v>人工智能竞赛；机器人大赛；大数据竞赛；创新实践基地</x:v>
      </x:c>
      <x:c r="L16" s="52" t="str">
        <x:v>高校-年份/省份-年份</x:v>
      </x:c>
      <x:c r="M16" s="52" t="str">
        <x:v>部分可得</x:v>
      </x:c>
      <x:c r="N16" s="52" t="str">
        <x:v>中-高</x:v>
      </x:c>
      <x:c r="O16" s="31" t="str">
        <x:v>更适合作为教育实践能力补充。</x:v>
      </x:c>
    </x:row>
    <x:row r="17" ht="54" customHeight="1">
      <x:c r="A17" s="34" t="str">
        <x:v>教育系统 E</x:v>
      </x:c>
      <x:c r="B17" s="54" t="str">
        <x:v>E3_UNIV_AI_PUBLICATION</x:v>
      </x:c>
      <x:c r="C17" s="54" t="str">
        <x:v>扩大口径</x:v>
      </x:c>
      <x:c r="D17" s="54" t="str">
        <x:v>高校AI论文数量</x:v>
      </x:c>
      <x:c r="E17" s="54" t="str">
        <x:v>高校作者发表的AI相关论文数量，作为高校知识产出补充。</x:v>
      </x:c>
      <x:c r="F17" s="54" t="str">
        <x:v>否</x:v>
      </x:c>
      <x:c r="G17" s="54" t="str">
        <x:v>扩大口径/补充机制</x:v>
      </x:c>
      <x:c r="H17" s="54" t="str">
        <x:v>不计论文经费来源，避免与F重叠。</x:v>
      </x:c>
      <x:c r="I17" s="54" t="str">
        <x:v>CNKI；Web of Science；Scopus；高校科研统计</x:v>
      </x:c>
      <x:c r="J17" s="54" t="str">
        <x:v>以高校为作者单位，按AI关键词检索论文，按年份计数。</x:v>
      </x:c>
      <x:c r="K17" s="54" t="str">
        <x:v>人工智能；机器学习；深度学习；NLP；CV；大模型</x:v>
      </x:c>
      <x:c r="L17" s="54" t="str">
        <x:v>高校-年份/省份-年份</x:v>
      </x:c>
      <x:c r="M17" s="54" t="str">
        <x:v>数据库可得但需权限</x:v>
      </x:c>
      <x:c r="N17" s="54" t="str">
        <x:v>高</x:v>
      </x:c>
      <x:c r="O17" s="35" t="str">
        <x:v>严格说是知识产出，不是纯教育供给，建议单列或放拓展。</x:v>
      </x:c>
    </x:row>
    <x:row r="18" ht="54" customHeight="1">
      <x:c r="A18" s="32" t="str">
        <x:v>教育系统 E</x:v>
      </x:c>
      <x:c r="B18" s="53" t="str">
        <x:v>E3_UNIV_AI_PATENT</x:v>
      </x:c>
      <x:c r="C18" s="53" t="str">
        <x:v>扩大口径</x:v>
      </x:c>
      <x:c r="D18" s="53" t="str">
        <x:v>高校AI专利数量</x:v>
      </x:c>
      <x:c r="E18" s="53" t="str">
        <x:v>高校作为申请人的AI相关专利数量。</x:v>
      </x:c>
      <x:c r="F18" s="53" t="str">
        <x:v>否</x:v>
      </x:c>
      <x:c r="G18" s="53" t="str">
        <x:v>扩大口径/补充机制</x:v>
      </x:c>
      <x:c r="H18" s="53" t="str">
        <x:v>高校专利放E拓展；企业专利放I，不能重复。</x:v>
      </x:c>
      <x:c r="I18" s="53" t="str">
        <x:v>国家知识产权局；Incopat；智慧芽；高校知识产权平台</x:v>
      </x:c>
      <x:c r="J18" s="53" t="str">
        <x:v>按申请人类型=高校、AI关键词/分类号检索，按年份汇总。</x:v>
      </x:c>
      <x:c r="K18" s="53" t="str">
        <x:v>人工智能；神经网络；机器学习；图像识别；语音识别</x:v>
      </x:c>
      <x:c r="L18" s="53" t="str">
        <x:v>高校-年份/省份-年份</x:v>
      </x:c>
      <x:c r="M18" s="53" t="str">
        <x:v>可得但清洗成本高</x:v>
      </x:c>
      <x:c r="N18" s="53" t="str">
        <x:v>高</x:v>
      </x:c>
      <x:c r="O18" s="33" t="str">
        <x:v>用于证明高校知识供给，不建议和专业数简单相加。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0.860000610351562" hidden="0" customWidth="1"/>
    <x:col min="3" max="3" width="11.170000076293945" hidden="0" customWidth="1"/>
    <x:col min="4" max="4" width="23.549999237060547" hidden="0" customWidth="1"/>
    <x:col min="5" max="5" width="43.7400016784668" hidden="0" customWidth="1"/>
    <x:col min="6" max="6" width="9.420000076293945" hidden="0" customWidth="1"/>
    <x:col min="7" max="7" width="16.81999969482422" hidden="0" customWidth="1"/>
    <x:col min="8" max="8" width="32.970001220703125" hidden="0" customWidth="1"/>
    <x:col min="9" max="9" width="34.31999969482422" hidden="0" customWidth="1"/>
    <x:col min="10" max="10" width="45.09000015258789" hidden="0" customWidth="1"/>
    <x:col min="11" max="11" width="39.70000076293945" hidden="0" customWidth="1"/>
    <x:col min="12" max="12" width="16.81999969482422" hidden="0" customWidth="1"/>
    <x:col min="13" max="13" width="19.520000457763672" hidden="0" customWidth="1"/>
    <x:col min="14" max="14" width="10.770000457763672" hidden="0" customWidth="1"/>
    <x:col min="15" max="15" width="43.7400016784668" hidden="0" customWidth="1"/>
  </x:cols>
  <x:sheetData>
    <x:row r="1" ht="25.5" customHeight="1">
      <x:c r="A1" s="4" t="str">
        <x:v>产业系统 I：AI产业发展指标口径与采集方法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3">
      <x:c r="A3" s="13" t="str">
        <x:v>系统</x:v>
      </x:c>
      <x:c r="B3" s="45" t="str">
        <x:v>变量代码</x:v>
      </x:c>
      <x:c r="C3" s="45" t="str">
        <x:v>口径层级</x:v>
      </x:c>
      <x:c r="D3" s="45" t="str">
        <x:v>指标名称</x:v>
      </x:c>
      <x:c r="E3" s="45" t="str">
        <x:v>指标解释/纳入边界</x:v>
      </x:c>
      <x:c r="F3" s="45" t="str">
        <x:v>是否主模型</x:v>
      </x:c>
      <x:c r="G3" s="45" t="str">
        <x:v>口径检验用途</x:v>
      </x:c>
      <x:c r="H3" s="45" t="str">
        <x:v>金融系统边界约束</x:v>
      </x:c>
      <x:c r="I3" s="45" t="str">
        <x:v>推荐数据源</x:v>
      </x:c>
      <x:c r="J3" s="45" t="str">
        <x:v>采集方法</x:v>
      </x:c>
      <x:c r="K3" s="45" t="str">
        <x:v>检索关键词/识别规则</x:v>
      </x:c>
      <x:c r="L3" s="45" t="str">
        <x:v>数据粒度</x:v>
      </x:c>
      <x:c r="M3" s="45" t="str">
        <x:v>年份可得性</x:v>
      </x:c>
      <x:c r="N3" s="45" t="str">
        <x:v>数据难度</x:v>
      </x:c>
      <x:c r="O3" s="14" t="str">
        <x:v>核验要点/备注</x:v>
      </x:c>
    </x:row>
    <x:row r="4" ht="54" customHeight="1">
      <x:c r="A4" s="28" t="str">
        <x:v>产业系统 I</x:v>
      </x:c>
      <x:c r="B4" s="51" t="str">
        <x:v>I1_CORE_AI_FIRM_COUNT</x:v>
      </x:c>
      <x:c r="C4" s="51" t="str">
        <x:v>保守口径</x:v>
      </x:c>
      <x:c r="D4" s="51" t="str">
        <x:v>AI核心企业数量</x:v>
      </x:c>
      <x:c r="E4" s="51" t="str">
        <x:v>企业名称、经营范围或主营业务明确包含人工智能及核心算法技术。</x:v>
      </x:c>
      <x:c r="F4" s="51" t="str">
        <x:v>否</x:v>
      </x:c>
      <x:c r="G4" s="51" t="str">
        <x:v>底线检验</x:v>
      </x:c>
      <x:c r="H4" s="51" t="str">
        <x:v>企业融资金额不放入I，留给F。</x:v>
      </x:c>
      <x:c r="I4" s="51" t="str">
        <x:v>企查查；天眼查；爱企查；地方科技厅名单</x:v>
      </x:c>
      <x:c r="J4" s="51" t="str">
        <x:v>按关键词检索企业，筛选存续状态、注册地、成立年份，人工抽样核验。</x:v>
      </x:c>
      <x:c r="K4" s="51" t="str">
        <x:v>人工智能；机器学习；深度学习；智能算法；计算机视觉；自然语言处理</x:v>
      </x:c>
      <x:c r="L4" s="51" t="str">
        <x:v>企业-年份/省份-年份</x:v>
      </x:c>
      <x:c r="M4" s="51" t="str">
        <x:v>企业注册数据较可得</x:v>
      </x:c>
      <x:c r="N4" s="51" t="str">
        <x:v>中</x:v>
      </x:c>
      <x:c r="O4" s="29" t="str">
        <x:v>最窄产业口径，可避免把普通数字企业算入AI产业。</x:v>
      </x:c>
    </x:row>
    <x:row r="5" ht="54" customHeight="1">
      <x:c r="A5" s="34" t="str">
        <x:v>产业系统 I</x:v>
      </x:c>
      <x:c r="B5" s="54" t="str">
        <x:v>I1_CORE_AI_PATENT</x:v>
      </x:c>
      <x:c r="C5" s="54" t="str">
        <x:v>保守口径</x:v>
      </x:c>
      <x:c r="D5" s="54" t="str">
        <x:v>企业AI核心专利数量</x:v>
      </x:c>
      <x:c r="E5" s="54" t="str">
        <x:v>企业申请的AI核心技术相关发明/实用新型专利。</x:v>
      </x:c>
      <x:c r="F5" s="54" t="str">
        <x:v>否</x:v>
      </x:c>
      <x:c r="G5" s="54" t="str">
        <x:v>底线检验</x:v>
      </x:c>
      <x:c r="H5" s="54" t="str">
        <x:v>企业专利放I；高校专利放E拓展，避免重复。</x:v>
      </x:c>
      <x:c r="I5" s="54" t="str">
        <x:v>国家知识产权局；Incopat；智慧芽</x:v>
      </x:c>
      <x:c r="J5" s="54" t="str">
        <x:v>按申请人类型=企业、注册地、AI关键词或IPC/CPC分类检索。</x:v>
      </x:c>
      <x:c r="K5" s="54" t="str">
        <x:v>机器学习；神经网络；图像识别；语音识别；自然语言处理；智能算法</x:v>
      </x:c>
      <x:c r="L5" s="54" t="str">
        <x:v>企业-年份/省份-年份</x:v>
      </x:c>
      <x:c r="M5" s="54" t="str">
        <x:v>可得但需清洗</x:v>
      </x:c>
      <x:c r="N5" s="54" t="str">
        <x:v>高</x:v>
      </x:c>
      <x:c r="O5" s="35" t="str">
        <x:v>比企业名称更能体现技术产出，但关键词误判需核验。</x:v>
      </x:c>
    </x:row>
    <x:row r="6" ht="54" customHeight="1">
      <x:c r="A6" s="30" t="str">
        <x:v>产业系统 I</x:v>
      </x:c>
      <x:c r="B6" s="52" t="str">
        <x:v>I1_AI_SOFTWARE_COPYRIGHT</x:v>
      </x:c>
      <x:c r="C6" s="52" t="str">
        <x:v>保守口径</x:v>
      </x:c>
      <x:c r="D6" s="52" t="str">
        <x:v>AI软件著作权数量</x:v>
      </x:c>
      <x:c r="E6" s="52" t="str">
        <x:v>软件名称或说明明确包含AI核心技术的软件著作权。</x:v>
      </x:c>
      <x:c r="F6" s="52" t="str">
        <x:v>否</x:v>
      </x:c>
      <x:c r="G6" s="52" t="str">
        <x:v>底线检验</x:v>
      </x:c>
      <x:c r="H6" s="52" t="str">
        <x:v>不包括融资、贷款、基金信息。</x:v>
      </x:c>
      <x:c r="I6" s="52" t="str">
        <x:v>中国版权保护中心；企业年报；第三方数据库</x:v>
      </x:c>
      <x:c r="J6" s="52" t="str">
        <x:v>按软件名称关键词检索，匹配权利人所在地和登记年份。</x:v>
      </x:c>
      <x:c r="K6" s="52" t="str">
        <x:v>人工智能；机器学习；智能识别；算法平台；智能分析</x:v>
      </x:c>
      <x:c r="L6" s="52" t="str">
        <x:v>企业-年份/省份-年份</x:v>
      </x:c>
      <x:c r="M6" s="52" t="str">
        <x:v>公开性有限</x:v>
      </x:c>
      <x:c r="N6" s="52" t="str">
        <x:v>中-高</x:v>
      </x:c>
      <x:c r="O6" s="31" t="str">
        <x:v>可作为AI产品化证据，注意去除普通管理软件。</x:v>
      </x:c>
    </x:row>
    <x:row r="7" ht="54" customHeight="1">
      <x:c r="A7" s="34" t="str">
        <x:v>产业系统 I</x:v>
      </x:c>
      <x:c r="B7" s="54" t="str">
        <x:v>I1_ALGORITHM_RECORD</x:v>
      </x:c>
      <x:c r="C7" s="54" t="str">
        <x:v>保守口径</x:v>
      </x:c>
      <x:c r="D7" s="54" t="str">
        <x:v>算法备案/模型产品数量</x:v>
      </x:c>
      <x:c r="E7" s="54" t="str">
        <x:v>生成式AI服务、深度合成服务、推荐算法等备案或模型产品数量。</x:v>
      </x:c>
      <x:c r="F7" s="54" t="str">
        <x:v>否</x:v>
      </x:c>
      <x:c r="G7" s="54" t="str">
        <x:v>底线检验</x:v>
      </x:c>
      <x:c r="H7" s="54" t="str">
        <x:v>备案产品数量放I；投资金额放F。</x:v>
      </x:c>
      <x:c r="I7" s="54" t="str">
        <x:v>网信办算法备案；地方工信/网信部门；企业公告</x:v>
      </x:c>
      <x:c r="J7" s="54" t="str">
        <x:v>下载备案清单，匹配主体所在地和备案时间。</x:v>
      </x:c>
      <x:c r="K7" s="54" t="str">
        <x:v>算法备案；生成式人工智能服务；深度合成；大模型</x:v>
      </x:c>
      <x:c r="L7" s="54" t="str">
        <x:v>企业-年份/省份-年份</x:v>
      </x:c>
      <x:c r="M7" s="54" t="str">
        <x:v>近年可得，历史较短</x:v>
      </x:c>
      <x:c r="N7" s="54" t="str">
        <x:v>中</x:v>
      </x:c>
      <x:c r="O7" s="35" t="str">
        <x:v>适合2022年后研究，时间序列较短。</x:v>
      </x:c>
    </x:row>
    <x:row r="8" ht="54" customHeight="1">
      <x:c r="A8" s="30" t="str">
        <x:v>产业系统 I</x:v>
      </x:c>
      <x:c r="B8" s="52" t="str">
        <x:v>I2_AI_FIRM_COUNT</x:v>
      </x:c>
      <x:c r="C8" s="52" t="str">
        <x:v>基本口径</x:v>
      </x:c>
      <x:c r="D8" s="52" t="str">
        <x:v>AI相关企业数量</x:v>
      </x:c>
      <x:c r="E8" s="52" t="str">
        <x:v>在保守口径基础上加入数据智能、智能机器人、智能感知、算法服务等强相关企业。</x:v>
      </x:c>
      <x:c r="F8" s="52" t="str">
        <x:v>是</x:v>
      </x:c>
      <x:c r="G8" s="52" t="str">
        <x:v>主结果</x:v>
      </x:c>
      <x:c r="H8" s="52" t="str">
        <x:v>不纳入企业融资金额和融资事件。</x:v>
      </x:c>
      <x:c r="I8" s="52" t="str">
        <x:v>企查查；天眼查；爱企查；工信厅/科技厅企业名单</x:v>
      </x:c>
      <x:c r="J8" s="52" t="str">
        <x:v>建立AI产业关键词表，按经营范围、行业标签、产品介绍筛选。</x:v>
      </x:c>
      <x:c r="K8" s="52" t="str">
        <x:v>人工智能；智能机器人；数据智能；智能感知；算法服务；智能识别</x:v>
      </x:c>
      <x:c r="L8" s="52" t="str">
        <x:v>企业-年份/省份-年份</x:v>
      </x:c>
      <x:c r="M8" s="52" t="str">
        <x:v>较可得</x:v>
      </x:c>
      <x:c r="N8" s="52" t="str">
        <x:v>中</x:v>
      </x:c>
      <x:c r="O8" s="31" t="str">
        <x:v>推荐作为主模型I变量的核心口径。</x:v>
      </x:c>
    </x:row>
    <x:row r="9" ht="54" customHeight="1">
      <x:c r="A9" s="34" t="str">
        <x:v>产业系统 I</x:v>
      </x:c>
      <x:c r="B9" s="54" t="str">
        <x:v>I2_AI_HIGH_TECH_FIRM</x:v>
      </x:c>
      <x:c r="C9" s="54" t="str">
        <x:v>基本口径</x:v>
      </x:c>
      <x:c r="D9" s="54" t="str">
        <x:v>AI相关高新技术企业数量</x:v>
      </x:c>
      <x:c r="E9" s="54" t="str">
        <x:v>高新技术企业名单中与AI核心技术或智能产品相关的企业数量。</x:v>
      </x:c>
      <x:c r="F9" s="54" t="str">
        <x:v>是</x:v>
      </x:c>
      <x:c r="G9" s="54" t="str">
        <x:v>主结果增强</x:v>
      </x:c>
      <x:c r="H9" s="54" t="str">
        <x:v>高企获得贷款/补贴金额不放I。</x:v>
      </x:c>
      <x:c r="I9" s="54" t="str">
        <x:v>科技部高新技术企业认定名单；省科技厅</x:v>
      </x:c>
      <x:c r="J9" s="54" t="str">
        <x:v>下载高企名单，按企业名称和经营范围匹配AI关键词。</x:v>
      </x:c>
      <x:c r="K9" s="54" t="str">
        <x:v>高新技术企业；人工智能；智能制造；数据智能；软件算法</x:v>
      </x:c>
      <x:c r="L9" s="54" t="str">
        <x:v>企业-年份/省份-年份</x:v>
      </x:c>
      <x:c r="M9" s="54" t="str">
        <x:v>名单较可得</x:v>
      </x:c>
      <x:c r="N9" s="54" t="str">
        <x:v>中</x:v>
      </x:c>
      <x:c r="O9" s="35" t="str">
        <x:v>能提升企业质量识别，但需防止泛软件企业误入。</x:v>
      </x:c>
    </x:row>
    <x:row r="10" ht="54" customHeight="1">
      <x:c r="A10" s="30" t="str">
        <x:v>产业系统 I</x:v>
      </x:c>
      <x:c r="B10" s="52" t="str">
        <x:v>I2_AI_JOB_COUNT</x:v>
      </x:c>
      <x:c r="C10" s="52" t="str">
        <x:v>基本口径</x:v>
      </x:c>
      <x:c r="D10" s="52" t="str">
        <x:v>AI岗位需求数量</x:v>
      </x:c>
      <x:c r="E10" s="52" t="str">
        <x:v>招聘中明确要求AI算法、机器学习、深度学习、NLP、CV等技能的岗位数量。</x:v>
      </x:c>
      <x:c r="F10" s="52" t="str">
        <x:v>是</x:v>
      </x:c>
      <x:c r="G10" s="52" t="str">
        <x:v>主结果增强</x:v>
      </x:c>
      <x:c r="H10" s="52" t="str">
        <x:v>薪酬金融属性不放F，岗位需求仍属I。</x:v>
      </x:c>
      <x:c r="I10" s="52" t="str">
        <x:v>BOSS直聘；智联招聘；猎聘；拉勾；地方人才网</x:v>
      </x:c>
      <x:c r="J10" s="52" t="str">
        <x:v>按关键词、地区、发布日期抓取岗位，去重后按年份汇总。</x:v>
      </x:c>
      <x:c r="K10" s="52" t="str">
        <x:v>算法工程师；机器学习；深度学习；NLP；CV；大模型；数据科学家</x:v>
      </x:c>
      <x:c r="L10" s="52" t="str">
        <x:v>城市-年份/省份-年份</x:v>
      </x:c>
      <x:c r="M10" s="52" t="str">
        <x:v>平台可得但需合规采集</x:v>
      </x:c>
      <x:c r="N10" s="52" t="str">
        <x:v>高</x:v>
      </x:c>
      <x:c r="O10" s="31" t="str">
        <x:v>很能反映产业吸纳，但平台反爬和重复岗位需处理。</x:v>
      </x:c>
    </x:row>
    <x:row r="11" ht="54" customHeight="1">
      <x:c r="A11" s="34" t="str">
        <x:v>产业系统 I</x:v>
      </x:c>
      <x:c r="B11" s="54" t="str">
        <x:v>I2_AI_PATENT_TOTAL</x:v>
      </x:c>
      <x:c r="C11" s="54" t="str">
        <x:v>基本口径</x:v>
      </x:c>
      <x:c r="D11" s="54" t="str">
        <x:v>企业AI专利总量</x:v>
      </x:c>
      <x:c r="E11" s="54" t="str">
        <x:v>企业端AI相关专利申请量或授权量。</x:v>
      </x:c>
      <x:c r="F11" s="54" t="str">
        <x:v>是</x:v>
      </x:c>
      <x:c r="G11" s="54" t="str">
        <x:v>主结果增强</x:v>
      </x:c>
      <x:c r="H11" s="54" t="str">
        <x:v>只计企业申请人，避免与E高校专利重复。</x:v>
      </x:c>
      <x:c r="I11" s="54" t="str">
        <x:v>国家知识产权局；Incopat；智慧芽</x:v>
      </x:c>
      <x:c r="J11" s="54" t="str">
        <x:v>按企业申请人和AI关键词检索，匹配地区与申请年份。</x:v>
      </x:c>
      <x:c r="K11" s="54" t="str">
        <x:v>人工智能；机器学习；神经网络；图像识别；语音识别；智能控制</x:v>
      </x:c>
      <x:c r="L11" s="54" t="str">
        <x:v>企业-年份/省份-年份</x:v>
      </x:c>
      <x:c r="M11" s="54" t="str">
        <x:v>可得但需权限或批量检索</x:v>
      </x:c>
      <x:c r="N11" s="54" t="str">
        <x:v>高</x:v>
      </x:c>
      <x:c r="O11" s="35" t="str">
        <x:v>建议分发明专利和全部专利做敏感性检查。</x:v>
      </x:c>
    </x:row>
    <x:row r="12" ht="54" customHeight="1">
      <x:c r="A12" s="30" t="str">
        <x:v>产业系统 I</x:v>
      </x:c>
      <x:c r="B12" s="52" t="str">
        <x:v>I2_AI_PRODUCT_SERVICE</x:v>
      </x:c>
      <x:c r="C12" s="52" t="str">
        <x:v>基本口径</x:v>
      </x:c>
      <x:c r="D12" s="52" t="str">
        <x:v>AI产品/解决方案数量</x:v>
      </x:c>
      <x:c r="E12" s="52" t="str">
        <x:v>企业公开发布的AI平台、算法产品、智能解决方案数量。</x:v>
      </x:c>
      <x:c r="F12" s="52" t="str">
        <x:v>可选</x:v>
      </x:c>
      <x:c r="G12" s="52" t="str">
        <x:v>机制解释</x:v>
      </x:c>
      <x:c r="H12" s="52" t="str">
        <x:v>产品收入如来自融资披露，不放I。</x:v>
      </x:c>
      <x:c r="I12" s="52" t="str">
        <x:v>企业官网；工信厅案例；数字经济案例库</x:v>
      </x:c>
      <x:c r="J12" s="52" t="str">
        <x:v>采集企业产品页和官方案例名单，按产品/方案去重计数。</x:v>
      </x:c>
      <x:c r="K12" s="52" t="str">
        <x:v>AI平台；智能识别；智能客服；智能风控；算法平台；大模型应用</x:v>
      </x:c>
      <x:c r="L12" s="52" t="str">
        <x:v>企业-年份/省份-年份</x:v>
      </x:c>
      <x:c r="M12" s="52" t="str">
        <x:v>非结构化，需人工核验</x:v>
      </x:c>
      <x:c r="N12" s="52" t="str">
        <x:v>高</x:v>
      </x:c>
      <x:c r="O12" s="31" t="str">
        <x:v>适合案例和机制说明，作为主变量成本较高。</x:v>
      </x:c>
    </x:row>
    <x:row r="13" ht="54" customHeight="1">
      <x:c r="A13" s="34" t="str">
        <x:v>产业系统 I</x:v>
      </x:c>
      <x:c r="B13" s="54" t="str">
        <x:v>I2_AI_NEW_FIRM</x:v>
      </x:c>
      <x:c r="C13" s="54" t="str">
        <x:v>基本口径</x:v>
      </x:c>
      <x:c r="D13" s="54" t="str">
        <x:v>新增AI企业数量</x:v>
      </x:c>
      <x:c r="E13" s="54" t="str">
        <x:v>当年新注册AI相关企业数量。</x:v>
      </x:c>
      <x:c r="F13" s="54" t="str">
        <x:v>可选</x:v>
      </x:c>
      <x:c r="G13" s="54" t="str">
        <x:v>主结果增强</x:v>
      </x:c>
      <x:c r="H13" s="54" t="str">
        <x:v>注册资本不直接作为F，除非进入金融系统另算。</x:v>
      </x:c>
      <x:c r="I13" s="54" t="str">
        <x:v>企查查；天眼查；爱企查</x:v>
      </x:c>
      <x:c r="J13" s="54" t="str">
        <x:v>用成立年份字段统计AI相关企业新增数。</x:v>
      </x:c>
      <x:c r="K13" s="54" t="str">
        <x:v>AI企业关键词；成立年份；注册地</x:v>
      </x:c>
      <x:c r="L13" s="54" t="str">
        <x:v>省份-年份</x:v>
      </x:c>
      <x:c r="M13" s="54" t="str">
        <x:v>较可得</x:v>
      </x:c>
      <x:c r="N13" s="54" t="str">
        <x:v>中</x:v>
      </x:c>
      <x:c r="O13" s="35" t="str">
        <x:v>适合衡量产业活力，但需清理空壳和注销企业。</x:v>
      </x:c>
    </x:row>
    <x:row r="14" ht="54" customHeight="1">
      <x:c r="A14" s="30" t="str">
        <x:v>产业系统 I</x:v>
      </x:c>
      <x:c r="B14" s="52" t="str">
        <x:v>I2_SOFTWARE_INFO_PROXY</x:v>
      </x:c>
      <x:c r="C14" s="52" t="str">
        <x:v>基本口径</x:v>
      </x:c>
      <x:c r="D14" s="52" t="str">
        <x:v>软件和信息服务业规模代理变量</x:v>
      </x:c>
      <x:c r="E14" s="52" t="str">
        <x:v>当AI产业直接收入不可得时，用软件和信息技术服务业规模作为弱代理。</x:v>
      </x:c>
      <x:c r="F14" s="52" t="str">
        <x:v>可选</x:v>
      </x:c>
      <x:c r="G14" s="52" t="str">
        <x:v>备用变量</x:v>
      </x:c>
      <x:c r="H14" s="52" t="str">
        <x:v>该变量不能替代F，不含金融供给含义。</x:v>
      </x:c>
      <x:c r="I14" s="52" t="str">
        <x:v>统计年鉴；工信厅；软件业统计公报</x:v>
      </x:c>
      <x:c r="J14" s="52" t="str">
        <x:v>下载统计年鉴/软件业公报，提取地区软件业务收入或信息服务业增加值。</x:v>
      </x:c>
      <x:c r="K14" s="52" t="str">
        <x:v>软件业务收入；信息技术服务；数字经济核心产业</x:v>
      </x:c>
      <x:c r="L14" s="52" t="str">
        <x:v>省份-年份/城市-年份</x:v>
      </x:c>
      <x:c r="M14" s="52" t="str">
        <x:v>较可得</x:v>
      </x:c>
      <x:c r="N14" s="52" t="str">
        <x:v>中</x:v>
      </x:c>
      <x:c r="O14" s="31" t="str">
        <x:v>偏宽，需说明只是产业环境或替代指标。</x:v>
      </x:c>
    </x:row>
    <x:row r="15" ht="54" customHeight="1">
      <x:c r="A15" s="34" t="str">
        <x:v>产业系统 I</x:v>
      </x:c>
      <x:c r="B15" s="54" t="str">
        <x:v>I3_AI_SCENARIO_FIRM</x:v>
      </x:c>
      <x:c r="C15" s="54" t="str">
        <x:v>扩大口径</x:v>
      </x:c>
      <x:c r="D15" s="54" t="str">
        <x:v>AI应用场景企业数量</x:v>
      </x:c>
      <x:c r="E15" s="54" t="str">
        <x:v>纳入智慧医疗、智慧教育、智慧政务、智能制造、智慧金融等AI应用企业。</x:v>
      </x:c>
      <x:c r="F15" s="54" t="str">
        <x:v>否</x:v>
      </x:c>
      <x:c r="G15" s="54" t="str">
        <x:v>扩大口径检验</x:v>
      </x:c>
      <x:c r="H15" s="54" t="str">
        <x:v>智慧金融企业若提供融资服务应归F；若提供AI风控技术可归I。</x:v>
      </x:c>
      <x:c r="I15" s="54" t="str">
        <x:v>企查查；地方数字经济企业名单；行业协会</x:v>
      </x:c>
      <x:c r="J15" s="54" t="str">
        <x:v>按场景关键词筛选企业，人工区分“使用AI”与“提供AI产品/服务”。</x:v>
      </x:c>
      <x:c r="K15" s="54" t="str">
        <x:v>智慧医疗；智慧教育；智慧政务；智能制造；智慧金融；工业互联网</x:v>
      </x:c>
      <x:c r="L15" s="54" t="str">
        <x:v>企业-年份/省份-年份</x:v>
      </x:c>
      <x:c r="M15" s="54" t="str">
        <x:v>可得但边界争议大</x:v>
      </x:c>
      <x:c r="N15" s="54" t="str">
        <x:v>高</x:v>
      </x:c>
      <x:c r="O15" s="35" t="str">
        <x:v>只用于扩大口径检验，不建议作为主结果。</x:v>
      </x:c>
    </x:row>
    <x:row r="16" ht="54" customHeight="1">
      <x:c r="A16" s="30" t="str">
        <x:v>产业系统 I</x:v>
      </x:c>
      <x:c r="B16" s="52" t="str">
        <x:v>I3_DIGITAL_ECON_FIRM</x:v>
      </x:c>
      <x:c r="C16" s="52" t="str">
        <x:v>扩大口径</x:v>
      </x:c>
      <x:c r="D16" s="52" t="str">
        <x:v>数字经济相关企业数量</x:v>
      </x:c>
      <x:c r="E16" s="52" t="str">
        <x:v>纳入与AI扩散相关的数字经济核心产业企业。</x:v>
      </x:c>
      <x:c r="F16" s="52" t="str">
        <x:v>否</x:v>
      </x:c>
      <x:c r="G16" s="52" t="str">
        <x:v>扩大口径检验</x:v>
      </x:c>
      <x:c r="H16" s="52" t="str">
        <x:v>数字金融企业需按功能区分I或F。</x:v>
      </x:c>
      <x:c r="I16" s="52" t="str">
        <x:v>国家统计局数字经济分类；企查查；地方数字经济名单</x:v>
      </x:c>
      <x:c r="J16" s="52" t="str">
        <x:v>按数字经济产业分类和企业行业代码匹配。</x:v>
      </x:c>
      <x:c r="K16" s="52" t="str">
        <x:v>数字经济；软件服务；云计算；大数据；物联网；工业互联网</x:v>
      </x:c>
      <x:c r="L16" s="52" t="str">
        <x:v>企业-年份/省份-年份</x:v>
      </x:c>
      <x:c r="M16" s="52" t="str">
        <x:v>较可得但清洗复杂</x:v>
      </x:c>
      <x:c r="N16" s="52" t="str">
        <x:v>高</x:v>
      </x:c>
      <x:c r="O16" s="31" t="str">
        <x:v>非常宽，适合检验结论是否随外延扩大而变化。</x:v>
      </x:c>
    </x:row>
    <x:row r="17" ht="54" customHeight="1">
      <x:c r="A17" s="34" t="str">
        <x:v>产业系统 I</x:v>
      </x:c>
      <x:c r="B17" s="54" t="str">
        <x:v>I3_AI_APP_JOB</x:v>
      </x:c>
      <x:c r="C17" s="54" t="str">
        <x:v>扩大口径</x:v>
      </x:c>
      <x:c r="D17" s="54" t="str">
        <x:v>AI应用型岗位数量</x:v>
      </x:c>
      <x:c r="E17" s="54" t="str">
        <x:v>业务岗位中要求AI工具、数据分析、智能系统应用能力的岗位。</x:v>
      </x:c>
      <x:c r="F17" s="54" t="str">
        <x:v>否</x:v>
      </x:c>
      <x:c r="G17" s="54" t="str">
        <x:v>扩大口径检验</x:v>
      </x:c>
      <x:c r="H17" s="54" t="str">
        <x:v>岗位薪酬不作为金融变量。</x:v>
      </x:c>
      <x:c r="I17" s="54" t="str">
        <x:v>招聘网站；地方人才网</x:v>
      </x:c>
      <x:c r="J17" s="54" t="str">
        <x:v>在岗位描述中识别AI工具和智能化应用要求，按地区年份汇总。</x:v>
      </x:c>
      <x:c r="K17" s="54" t="str">
        <x:v>AI工具；智能系统；数据分析；自动化运营；AIGC；大模型应用</x:v>
      </x:c>
      <x:c r="L17" s="54" t="str">
        <x:v>城市-年份/省份-年份</x:v>
      </x:c>
      <x:c r="M17" s="54" t="str">
        <x:v>平台可得但清洗成本高</x:v>
      </x:c>
      <x:c r="N17" s="54" t="str">
        <x:v>高</x:v>
      </x:c>
      <x:c r="O17" s="35" t="str">
        <x:v>边界宽，适合观察AI应用扩散，不适合主模型。</x:v>
      </x:c>
    </x:row>
    <x:row r="18" ht="54" customHeight="1">
      <x:c r="A18" s="30" t="str">
        <x:v>产业系统 I</x:v>
      </x:c>
      <x:c r="B18" s="52" t="str">
        <x:v>I3_SMART_MANUFACTURING_PROJECT</x:v>
      </x:c>
      <x:c r="C18" s="52" t="str">
        <x:v>扩大口径</x:v>
      </x:c>
      <x:c r="D18" s="52" t="str">
        <x:v>智能制造/工业互联网项目数量</x:v>
      </x:c>
      <x:c r="E18" s="52" t="str">
        <x:v>地方认定的智能工厂、工业互联网、智能制造试点示范项目。</x:v>
      </x:c>
      <x:c r="F18" s="52" t="str">
        <x:v>否</x:v>
      </x:c>
      <x:c r="G18" s="52" t="str">
        <x:v>扩大口径检验</x:v>
      </x:c>
      <x:c r="H18" s="52" t="str">
        <x:v>项目补贴金额归F或政策变量，不放I。</x:v>
      </x:c>
      <x:c r="I18" s="52" t="str">
        <x:v>工信部；省工信厅；地方工信局</x:v>
      </x:c>
      <x:c r="J18" s="52" t="str">
        <x:v>下载试点示范项目名单，匹配地区和年份。</x:v>
      </x:c>
      <x:c r="K18" s="52" t="str">
        <x:v>智能制造；智能工厂；工业互联网；试点示范；数字化车间</x:v>
      </x:c>
      <x:c r="L18" s="52" t="str">
        <x:v>企业-年份/城市-年份</x:v>
      </x:c>
      <x:c r="M18" s="52" t="str">
        <x:v>名单较可得</x:v>
      </x:c>
      <x:c r="N18" s="52" t="str">
        <x:v>中</x:v>
      </x:c>
      <x:c r="O18" s="31" t="str">
        <x:v>体现AI在第二产业应用，可用于扩大口径。</x:v>
      </x:c>
    </x:row>
    <x:row r="19" ht="54" customHeight="1">
      <x:c r="A19" s="36" t="str">
        <x:v>产业系统 I</x:v>
      </x:c>
      <x:c r="B19" s="55" t="str">
        <x:v>I3_THIRD_AI_SHARE</x:v>
      </x:c>
      <x:c r="C19" s="55" t="str">
        <x:v>扩大口径</x:v>
      </x:c>
      <x:c r="D19" s="55" t="str">
        <x:v>第三产业AI应用强度</x:v>
      </x:c>
      <x:c r="E19" s="55" t="str">
        <x:v>第三产业AI企业/岗位/专利占全部AI企业/岗位/专利的比重。</x:v>
      </x:c>
      <x:c r="F19" s="55" t="str">
        <x:v>否</x:v>
      </x:c>
      <x:c r="G19" s="55" t="str">
        <x:v>异质性/产业吸纳机制</x:v>
      </x:c>
      <x:c r="H19" s="55" t="str">
        <x:v>若使用智慧金融，需剔除纯金融供给指标。</x:v>
      </x:c>
      <x:c r="I19" s="55" t="str">
        <x:v>企查查行业分类；招聘网站；专利申请人行业；统计分类</x:v>
      </x:c>
      <x:c r="J19" s="55" t="str">
        <x:v>先识别AI企业/岗位/专利，再按行业分类标记第三产业，计算占比。</x:v>
      </x:c>
      <x:c r="K19" s="55" t="str">
        <x:v>第三产业行业代码；信息服务；金融科技服务；商务服务；医疗教育政务</x:v>
      </x:c>
      <x:c r="L19" s="55" t="str">
        <x:v>省份-年份/城市-年份</x:v>
      </x:c>
      <x:c r="M19" s="55" t="str">
        <x:v>需要行业清洗</x:v>
      </x:c>
      <x:c r="N19" s="55" t="str">
        <x:v>高</x:v>
      </x:c>
      <x:c r="O19" s="37" t="str">
        <x:v>建议作为异质性变量或机制变量，不作为I本体。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2.209999084472656" hidden="0" customWidth="1"/>
    <x:col min="3" max="3" width="11.170000076293945" hidden="0" customWidth="1"/>
    <x:col min="4" max="4" width="24.229999542236328" hidden="0" customWidth="1"/>
    <x:col min="5" max="5" width="43.7400016784668" hidden="0" customWidth="1"/>
    <x:col min="6" max="6" width="9.420000076293945" hidden="0" customWidth="1"/>
    <x:col min="7" max="7" width="16.81999969482422" hidden="0" customWidth="1"/>
    <x:col min="8" max="8" width="32.970001220703125" hidden="0" customWidth="1"/>
    <x:col min="9" max="9" width="34.31999969482422" hidden="0" customWidth="1"/>
    <x:col min="10" max="10" width="45.09000015258789" hidden="0" customWidth="1"/>
    <x:col min="11" max="11" width="39.70000076293945" hidden="0" customWidth="1"/>
    <x:col min="12" max="12" width="16.81999969482422" hidden="0" customWidth="1"/>
    <x:col min="13" max="13" width="19.520000457763672" hidden="0" customWidth="1"/>
    <x:col min="14" max="14" width="10.770000457763672" hidden="0" customWidth="1"/>
    <x:col min="15" max="15" width="43.7400016784668" hidden="0" customWidth="1"/>
  </x:cols>
  <x:sheetData>
    <x:row r="1" ht="25.5" customHeight="1">
      <x:c r="A1" s="4" t="str">
        <x:v>金融系统 F：金融支持指标口径与采集方法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3">
      <x:c r="A3" s="13" t="str">
        <x:v>系统</x:v>
      </x:c>
      <x:c r="B3" s="45" t="str">
        <x:v>变量代码</x:v>
      </x:c>
      <x:c r="C3" s="45" t="str">
        <x:v>口径层级</x:v>
      </x:c>
      <x:c r="D3" s="45" t="str">
        <x:v>指标名称</x:v>
      </x:c>
      <x:c r="E3" s="45" t="str">
        <x:v>指标解释/纳入边界</x:v>
      </x:c>
      <x:c r="F3" s="45" t="str">
        <x:v>是否主模型</x:v>
      </x:c>
      <x:c r="G3" s="45" t="str">
        <x:v>口径检验用途</x:v>
      </x:c>
      <x:c r="H3" s="45" t="str">
        <x:v>金融系统边界约束</x:v>
      </x:c>
      <x:c r="I3" s="45" t="str">
        <x:v>推荐数据源</x:v>
      </x:c>
      <x:c r="J3" s="45" t="str">
        <x:v>采集方法</x:v>
      </x:c>
      <x:c r="K3" s="45" t="str">
        <x:v>检索关键词/识别规则</x:v>
      </x:c>
      <x:c r="L3" s="45" t="str">
        <x:v>数据粒度</x:v>
      </x:c>
      <x:c r="M3" s="45" t="str">
        <x:v>年份可得性</x:v>
      </x:c>
      <x:c r="N3" s="45" t="str">
        <x:v>数据难度</x:v>
      </x:c>
      <x:c r="O3" s="14" t="str">
        <x:v>核验要点/备注</x:v>
      </x:c>
    </x:row>
    <x:row r="4" ht="54" customHeight="1">
      <x:c r="A4" s="28" t="str">
        <x:v>金融系统 F</x:v>
      </x:c>
      <x:c r="B4" s="51" t="str">
        <x:v>F1_AI_FINANCING_EVENT</x:v>
      </x:c>
      <x:c r="C4" s="51" t="str">
        <x:v>保守口径</x:v>
      </x:c>
      <x:c r="D4" s="51" t="str">
        <x:v>AI企业融资事件数</x:v>
      </x:c>
      <x:c r="E4" s="51" t="str">
        <x:v>AI相关企业获得股权融资、创投融资、产业基金投资的事件数量。</x:v>
      </x:c>
      <x:c r="F4" s="51" t="str">
        <x:v>否</x:v>
      </x:c>
      <x:c r="G4" s="51" t="str">
        <x:v>保守金融检验</x:v>
      </x:c>
      <x:c r="H4" s="51" t="str">
        <x:v>必须放F，不能放入AI产业I。</x:v>
      </x:c>
      <x:c r="I4" s="51" t="str">
        <x:v>IT桔子；清科；CVSource；企查查融资；Wind/CSMAR</x:v>
      </x:c>
      <x:c r="J4" s="51" t="str">
        <x:v>识别AI企业名单后匹配融资事件，按融资年份和地区汇总。</x:v>
      </x:c>
      <x:c r="K4" s="51" t="str">
        <x:v>融资事件；人工智能；AI企业；股权融资；创投</x:v>
      </x:c>
      <x:c r="L4" s="51" t="str">
        <x:v>企业-年份/省份-年份</x:v>
      </x:c>
      <x:c r="M4" s="51" t="str">
        <x:v>部分需付费数据库</x:v>
      </x:c>
      <x:c r="N4" s="51" t="str">
        <x:v>高</x:v>
      </x:c>
      <x:c r="O4" s="29" t="str">
        <x:v>直接反映资本支持，但小地区样本可能稀疏。</x:v>
      </x:c>
    </x:row>
    <x:row r="5" ht="54" customHeight="1">
      <x:c r="A5" s="34" t="str">
        <x:v>金融系统 F</x:v>
      </x:c>
      <x:c r="B5" s="54" t="str">
        <x:v>F1_AI_FINANCING_AMOUNT</x:v>
      </x:c>
      <x:c r="C5" s="54" t="str">
        <x:v>保守口径</x:v>
      </x:c>
      <x:c r="D5" s="54" t="str">
        <x:v>AI企业融资金额</x:v>
      </x:c>
      <x:c r="E5" s="54" t="str">
        <x:v>AI企业获得的股权融资、创投、产业基金投资金额。</x:v>
      </x:c>
      <x:c r="F5" s="54" t="str">
        <x:v>否</x:v>
      </x:c>
      <x:c r="G5" s="54" t="str">
        <x:v>保守金融检验</x:v>
      </x:c>
      <x:c r="H5" s="54" t="str">
        <x:v>必须放F；若放I会造成机械相关。</x:v>
      </x:c>
      <x:c r="I5" s="54" t="str">
        <x:v>IT桔子；清科；CVSource；企业公告；Wind/CSMAR</x:v>
      </x:c>
      <x:c r="J5" s="54" t="str">
        <x:v>匹配融资事件金额，币种统一，按地区年份求和或取对数。</x:v>
      </x:c>
      <x:c r="K5" s="54" t="str">
        <x:v>人工智能融资；融资金额；创投；产业基金；AI项目</x:v>
      </x:c>
      <x:c r="L5" s="54" t="str">
        <x:v>企业-年份/省份-年份</x:v>
      </x:c>
      <x:c r="M5" s="54" t="str">
        <x:v>披露不完整</x:v>
      </x:c>
      <x:c r="N5" s="54" t="str">
        <x:v>高</x:v>
      </x:c>
      <x:c r="O5" s="35" t="str">
        <x:v>金额缺失多，可用事件数替代。</x:v>
      </x:c>
    </x:row>
    <x:row r="6" ht="54" customHeight="1">
      <x:c r="A6" s="30" t="str">
        <x:v>金融系统 F</x:v>
      </x:c>
      <x:c r="B6" s="52" t="str">
        <x:v>F1_AI_GOV_FUND_PROJECT</x:v>
      </x:c>
      <x:c r="C6" s="52" t="str">
        <x:v>保守口径</x:v>
      </x:c>
      <x:c r="D6" s="52" t="str">
        <x:v>AI相关政府基金/专项支持项目数量</x:v>
      </x:c>
      <x:c r="E6" s="52" t="str">
        <x:v>政府引导基金、科技专项、产业基金中投向AI项目的数量。</x:v>
      </x:c>
      <x:c r="F6" s="52" t="str">
        <x:v>否</x:v>
      </x:c>
      <x:c r="G6" s="52" t="str">
        <x:v>保守金融检验</x:v>
      </x:c>
      <x:c r="H6" s="52" t="str">
        <x:v>项目资金归F；项目产出另归I或E。</x:v>
      </x:c>
      <x:c r="I6" s="52" t="str">
        <x:v>省财政厅；科技厅；工信厅；政府基金公告</x:v>
      </x:c>
      <x:c r="J6" s="52" t="str">
        <x:v>下载项目公示，按AI关键词和项目承担单位地区识别。</x:v>
      </x:c>
      <x:c r="K6" s="52" t="str">
        <x:v>人工智能专项；产业基金；政府引导基金；科技计划；AI项目</x:v>
      </x:c>
      <x:c r="L6" s="52" t="str">
        <x:v>项目-年份/省份-年份</x:v>
      </x:c>
      <x:c r="M6" s="52" t="str">
        <x:v>公开但格式分散</x:v>
      </x:c>
      <x:c r="N6" s="52" t="str">
        <x:v>中-高</x:v>
      </x:c>
      <x:c r="O6" s="31" t="str">
        <x:v>政策性金融支持证据，适合补充机制。</x:v>
      </x:c>
    </x:row>
    <x:row r="7" ht="54" customHeight="1">
      <x:c r="A7" s="34" t="str">
        <x:v>金融系统 F</x:v>
      </x:c>
      <x:c r="B7" s="54" t="str">
        <x:v>F1_TECH_LOAN_AI</x:v>
      </x:c>
      <x:c r="C7" s="54" t="str">
        <x:v>保守口径</x:v>
      </x:c>
      <x:c r="D7" s="54" t="str">
        <x:v>AI/科技企业贷款余额或贷款数量</x:v>
      </x:c>
      <x:c r="E7" s="54" t="str">
        <x:v>明确面向科技型企业或AI企业的银行贷款余额、贷款户数。</x:v>
      </x:c>
      <x:c r="F7" s="54" t="str">
        <x:v>否</x:v>
      </x:c>
      <x:c r="G7" s="54" t="str">
        <x:v>保守金融检验</x:v>
      </x:c>
      <x:c r="H7" s="54" t="str">
        <x:v>贷款供给归F，不归I。</x:v>
      </x:c>
      <x:c r="I7" s="54" t="str">
        <x:v>人民银行分支机构；金融监管局；地方金融年鉴；银行社会责任报告</x:v>
      </x:c>
      <x:c r="J7" s="54" t="str">
        <x:v>从金融统计或政策报告中提取科技贷款、知识产权质押贷款等指标。</x:v>
      </x:c>
      <x:c r="K7" s="54" t="str">
        <x:v>科技贷款；知识产权质押融资；人工智能企业贷款；科技型企业贷款</x:v>
      </x:c>
      <x:c r="L7" s="54" t="str">
        <x:v>省份-年份/城市-年份</x:v>
      </x:c>
      <x:c r="M7" s="54" t="str">
        <x:v>直接AI贷款较难</x:v>
      </x:c>
      <x:c r="N7" s="54" t="str">
        <x:v>高</x:v>
      </x:c>
      <x:c r="O7" s="35" t="str">
        <x:v>如果拿不到AI专项贷款，可用科技贷款作基本口径。</x:v>
      </x:c>
    </x:row>
    <x:row r="8" ht="54" customHeight="1">
      <x:c r="A8" s="30" t="str">
        <x:v>金融系统 F</x:v>
      </x:c>
      <x:c r="B8" s="52" t="str">
        <x:v>F2_TECH_LOAN_BALANCE</x:v>
      </x:c>
      <x:c r="C8" s="52" t="str">
        <x:v>基本口径</x:v>
      </x:c>
      <x:c r="D8" s="52" t="str">
        <x:v>科技型企业贷款余额</x:v>
      </x:c>
      <x:c r="E8" s="52" t="str">
        <x:v>金融机构对科技型企业、高新技术企业、专精特新企业的贷款余额。</x:v>
      </x:c>
      <x:c r="F8" s="52" t="str">
        <x:v>是</x:v>
      </x:c>
      <x:c r="G8" s="52" t="str">
        <x:v>主结果</x:v>
      </x:c>
      <x:c r="H8" s="52" t="str">
        <x:v>归F，不能进入I。</x:v>
      </x:c>
      <x:c r="I8" s="52" t="str">
        <x:v>人民银行；地方金融监管局；统计年鉴；政府工作报告</x:v>
      </x:c>
      <x:c r="J8" s="52" t="str">
        <x:v>整理官方金融统计，按地区年份提取。</x:v>
      </x:c>
      <x:c r="K8" s="52" t="str">
        <x:v>科技型企业贷款；高新技术企业贷款；专精特新贷款；科技金融</x:v>
      </x:c>
      <x:c r="L8" s="52" t="str">
        <x:v>省份-年份/城市-年份</x:v>
      </x:c>
      <x:c r="M8" s="52" t="str">
        <x:v>部分地区公开</x:v>
      </x:c>
      <x:c r="N8" s="52" t="str">
        <x:v>中-高</x:v>
      </x:c>
      <x:c r="O8" s="31" t="str">
        <x:v>推荐作为F主变量之一。</x:v>
      </x:c>
    </x:row>
    <x:row r="9" ht="54" customHeight="1">
      <x:c r="A9" s="34" t="str">
        <x:v>金融系统 F</x:v>
      </x:c>
      <x:c r="B9" s="54" t="str">
        <x:v>F2_IP_PLEDGE_AMOUNT</x:v>
      </x:c>
      <x:c r="C9" s="54" t="str">
        <x:v>基本口径</x:v>
      </x:c>
      <x:c r="D9" s="54" t="str">
        <x:v>知识产权质押融资金额</x:v>
      </x:c>
      <x:c r="E9" s="54" t="str">
        <x:v>专利、商标等知识产权质押获得的融资金额。</x:v>
      </x:c>
      <x:c r="F9" s="54" t="str">
        <x:v>是</x:v>
      </x:c>
      <x:c r="G9" s="54" t="str">
        <x:v>主结果增强</x:v>
      </x:c>
      <x:c r="H9" s="54" t="str">
        <x:v>属于金融支持，不放入E或I。</x:v>
      </x:c>
      <x:c r="I9" s="54" t="str">
        <x:v>国家知识产权局；省市场监管局；金融监管局</x:v>
      </x:c>
      <x:c r="J9" s="54" t="str">
        <x:v>下载知识产权质押融资统计或新闻公报，按地区年份整理。</x:v>
      </x:c>
      <x:c r="K9" s="54" t="str">
        <x:v>知识产权质押融资；专利质押；融资金额</x:v>
      </x:c>
      <x:c r="L9" s="54" t="str">
        <x:v>省份-年份/城市-年份</x:v>
      </x:c>
      <x:c r="M9" s="54" t="str">
        <x:v>较可得但口径不一</x:v>
      </x:c>
      <x:c r="N9" s="54" t="str">
        <x:v>中</x:v>
      </x:c>
      <x:c r="O9" s="35" t="str">
        <x:v>非常适合解释AI专利向融资转化。</x:v>
      </x:c>
    </x:row>
    <x:row r="10" ht="54" customHeight="1">
      <x:c r="A10" s="30" t="str">
        <x:v>金融系统 F</x:v>
      </x:c>
      <x:c r="B10" s="52" t="str">
        <x:v>F2_VC_ACTIVITY</x:v>
      </x:c>
      <x:c r="C10" s="52" t="str">
        <x:v>基本口径</x:v>
      </x:c>
      <x:c r="D10" s="52" t="str">
        <x:v>创投活跃度</x:v>
      </x:c>
      <x:c r="E10" s="52" t="str">
        <x:v>区域内创投机构数量、创投事件数或创投金额。</x:v>
      </x:c>
      <x:c r="F10" s="52" t="str">
        <x:v>是</x:v>
      </x:c>
      <x:c r="G10" s="52" t="str">
        <x:v>主结果增强</x:v>
      </x:c>
      <x:c r="H10" s="52" t="str">
        <x:v>创投支持归F；被投企业数量可放I但需区分。</x:v>
      </x:c>
      <x:c r="I10" s="52" t="str">
        <x:v>清科；IT桔子；CVSource；Wind PEVC</x:v>
      </x:c>
      <x:c r="J10" s="52" t="str">
        <x:v>按投资地区、行业、年份统计创投事件或金额。</x:v>
      </x:c>
      <x:c r="K10" s="52" t="str">
        <x:v>创业投资；风险投资；股权投资；科技投资；AI投资</x:v>
      </x:c>
      <x:c r="L10" s="52" t="str">
        <x:v>省份-年份/城市-年份</x:v>
      </x:c>
      <x:c r="M10" s="52" t="str">
        <x:v>需数据库或手工整理</x:v>
      </x:c>
      <x:c r="N10" s="52" t="str">
        <x:v>高</x:v>
      </x:c>
      <x:c r="O10" s="31" t="str">
        <x:v>若AI样本过少，可用科技/数字经济创投活跃度。</x:v>
      </x:c>
    </x:row>
    <x:row r="11" ht="54" customHeight="1">
      <x:c r="A11" s="34" t="str">
        <x:v>金融系统 F</x:v>
      </x:c>
      <x:c r="B11" s="54" t="str">
        <x:v>F2_GOV_GUIDANCE_FUND</x:v>
      </x:c>
      <x:c r="C11" s="54" t="str">
        <x:v>基本口径</x:v>
      </x:c>
      <x:c r="D11" s="54" t="str">
        <x:v>政府引导基金规模</x:v>
      </x:c>
      <x:c r="E11" s="54" t="str">
        <x:v>区域政府引导基金、产业基金、科技创新基金规模或项目数。</x:v>
      </x:c>
      <x:c r="F11" s="54" t="str">
        <x:v>是</x:v>
      </x:c>
      <x:c r="G11" s="54" t="str">
        <x:v>主结果增强</x:v>
      </x:c>
      <x:c r="H11" s="54" t="str">
        <x:v>基金规模归F；基金扶持项目产出另行归属。</x:v>
      </x:c>
      <x:c r="I11" s="54" t="str">
        <x:v>财政厅；地方金融监管局；母基金研究中心；政府公告</x:v>
      </x:c>
      <x:c r="J11" s="54" t="str">
        <x:v>收集基金设立公告、基金名录和规模，按地区年份整理。</x:v>
      </x:c>
      <x:c r="K11" s="54" t="str">
        <x:v>政府引导基金；产业基金；科技创新基金；母基金</x:v>
      </x:c>
      <x:c r="L11" s="54" t="str">
        <x:v>省份-年份/城市-年份</x:v>
      </x:c>
      <x:c r="M11" s="54" t="str">
        <x:v>公开但需清洗</x:v>
      </x:c>
      <x:c r="N11" s="54" t="str">
        <x:v>中-高</x:v>
      </x:c>
      <x:c r="O11" s="35" t="str">
        <x:v>适合福建省政策金融背景。</x:v>
      </x:c>
    </x:row>
    <x:row r="12" ht="54" customHeight="1">
      <x:c r="A12" s="30" t="str">
        <x:v>金融系统 F</x:v>
      </x:c>
      <x:c r="B12" s="52" t="str">
        <x:v>F2_DIGITAL_FINANCE_INDEX</x:v>
      </x:c>
      <x:c r="C12" s="52" t="str">
        <x:v>基本口径</x:v>
      </x:c>
      <x:c r="D12" s="52" t="str">
        <x:v>数字普惠金融指数</x:v>
      </x:c>
      <x:c r="E12" s="52" t="str">
        <x:v>地区数字金融覆盖广度、使用深度、数字化程度。</x:v>
      </x:c>
      <x:c r="F12" s="52" t="str">
        <x:v>是</x:v>
      </x:c>
      <x:c r="G12" s="52" t="str">
        <x:v>主结果/控制</x:v>
      </x:c>
      <x:c r="H12" s="52" t="str">
        <x:v>金融环境指标，归F或控制变量。</x:v>
      </x:c>
      <x:c r="I12" s="52" t="str">
        <x:v>北京大学数字普惠金融指数</x:v>
      </x:c>
      <x:c r="J12" s="52" t="str">
        <x:v>下载指数数据，匹配省份/城市和年份。</x:v>
      </x:c>
      <x:c r="K12" s="52" t="str">
        <x:v>数字普惠金融指数；覆盖广度；使用深度；数字化程度</x:v>
      </x:c>
      <x:c r="L12" s="52" t="str">
        <x:v>省份-年份/城市-年份</x:v>
      </x:c>
      <x:c r="M12" s="52" t="str">
        <x:v>2011年后较可得</x:v>
      </x:c>
      <x:c r="N12" s="52" t="str">
        <x:v>低</x:v>
      </x:c>
      <x:c r="O12" s="31" t="str">
        <x:v>数据连续性好，但不是AI专项金融支持。</x:v>
      </x:c>
    </x:row>
    <x:row r="13" ht="54" customHeight="1">
      <x:c r="A13" s="34" t="str">
        <x:v>金融系统 F</x:v>
      </x:c>
      <x:c r="B13" s="54" t="str">
        <x:v>F2_FINANCIAL_DEVELOPMENT</x:v>
      </x:c>
      <x:c r="C13" s="54" t="str">
        <x:v>基本口径</x:v>
      </x:c>
      <x:c r="D13" s="54" t="str">
        <x:v>金融发展水平</x:v>
      </x:c>
      <x:c r="E13" s="54" t="str">
        <x:v>金融机构贷款余额/GDP、金融业增加值/GDP、存贷款余额等区域金融发展指标。</x:v>
      </x:c>
      <x:c r="F13" s="54" t="str">
        <x:v>可选</x:v>
      </x:c>
      <x:c r="G13" s="54" t="str">
        <x:v>主结果增强/控制</x:v>
      </x:c>
      <x:c r="H13" s="54" t="str">
        <x:v>属于F或控制变量，不能进入I。</x:v>
      </x:c>
      <x:c r="I13" s="54" t="str">
        <x:v>统计年鉴；人民银行；国家统计局；地方统计局</x:v>
      </x:c>
      <x:c r="J13" s="54" t="str">
        <x:v>从统计年鉴提取金融机构存贷款、金融业增加值、GDP。</x:v>
      </x:c>
      <x:c r="K13" s="54" t="str">
        <x:v>金融机构贷款余额；金融业增加值；存贷款余额；GDP</x:v>
      </x:c>
      <x:c r="L13" s="54" t="str">
        <x:v>省份-年份/城市-年份</x:v>
      </x:c>
      <x:c r="M13" s="54" t="str">
        <x:v>较可得</x:v>
      </x:c>
      <x:c r="N13" s="54" t="str">
        <x:v>低-中</x:v>
      </x:c>
      <x:c r="O13" s="35" t="str">
        <x:v>偏宏观，适合控制或扩大金融口径。</x:v>
      </x:c>
    </x:row>
    <x:row r="14" ht="54" customHeight="1">
      <x:c r="A14" s="30" t="str">
        <x:v>金融系统 F</x:v>
      </x:c>
      <x:c r="B14" s="52" t="str">
        <x:v>F2_CREDIT_GUARANTEE</x:v>
      </x:c>
      <x:c r="C14" s="52" t="str">
        <x:v>基本口径</x:v>
      </x:c>
      <x:c r="D14" s="52" t="str">
        <x:v>科技担保/融资担保规模</x:v>
      </x:c>
      <x:c r="E14" s="52" t="str">
        <x:v>面向科技企业、小微企业、专精特新企业的担保金额或户数。</x:v>
      </x:c>
      <x:c r="F14" s="52" t="str">
        <x:v>可选</x:v>
      </x:c>
      <x:c r="G14" s="52" t="str">
        <x:v>机制解释</x:v>
      </x:c>
      <x:c r="H14" s="52" t="str">
        <x:v>担保属于金融支持，不放I。</x:v>
      </x:c>
      <x:c r="I14" s="52" t="str">
        <x:v>融资担保公司年报；地方金融监管局；财政厅</x:v>
      </x:c>
      <x:c r="J14" s="52" t="str">
        <x:v>整理担保业务统计，尽量识别科技企业口径。</x:v>
      </x:c>
      <x:c r="K14" s="52" t="str">
        <x:v>科技担保；融资担保；知识产权担保；专精特新担保</x:v>
      </x:c>
      <x:c r="L14" s="52" t="str">
        <x:v>省份-年份/城市-年份</x:v>
      </x:c>
      <x:c r="M14" s="52" t="str">
        <x:v>部分公开</x:v>
      </x:c>
      <x:c r="N14" s="52" t="str">
        <x:v>中-高</x:v>
      </x:c>
      <x:c r="O14" s="31" t="str">
        <x:v>可解释轻资产AI企业融资约束。</x:v>
      </x:c>
    </x:row>
    <x:row r="15" ht="54" customHeight="1">
      <x:c r="A15" s="34" t="str">
        <x:v>金融系统 F</x:v>
      </x:c>
      <x:c r="B15" s="54" t="str">
        <x:v>F3_TOTAL_LOAN_GDP</x:v>
      </x:c>
      <x:c r="C15" s="54" t="str">
        <x:v>扩大口径</x:v>
      </x:c>
      <x:c r="D15" s="54" t="str">
        <x:v>金融机构贷款余额/GDP</x:v>
      </x:c>
      <x:c r="E15" s="54" t="str">
        <x:v>地区总体信贷供给强度。</x:v>
      </x:c>
      <x:c r="F15" s="54" t="str">
        <x:v>否</x:v>
      </x:c>
      <x:c r="G15" s="54" t="str">
        <x:v>扩大金融口径检验</x:v>
      </x:c>
      <x:c r="H15" s="54" t="str">
        <x:v>归F，不归产业系统。</x:v>
      </x:c>
      <x:c r="I15" s="54" t="str">
        <x:v>统计年鉴；人民银行；地方统计局</x:v>
      </x:c>
      <x:c r="J15" s="54" t="str">
        <x:v>提取贷款余额和GDP，计算比值。</x:v>
      </x:c>
      <x:c r="K15" s="54" t="str">
        <x:v>金融机构贷款余额；地区生产总值</x:v>
      </x:c>
      <x:c r="L15" s="54" t="str">
        <x:v>省份-年份/城市-年份</x:v>
      </x:c>
      <x:c r="M15" s="54" t="str">
        <x:v>较可得</x:v>
      </x:c>
      <x:c r="N15" s="54" t="str">
        <x:v>低</x:v>
      </x:c>
      <x:c r="O15" s="35" t="str">
        <x:v>口径宽，适合稳健性或控制变量。</x:v>
      </x:c>
    </x:row>
    <x:row r="16" ht="54" customHeight="1">
      <x:c r="A16" s="30" t="str">
        <x:v>金融系统 F</x:v>
      </x:c>
      <x:c r="B16" s="52" t="str">
        <x:v>F3_DEPOSIT_LOAN_SCALE</x:v>
      </x:c>
      <x:c r="C16" s="52" t="str">
        <x:v>扩大口径</x:v>
      </x:c>
      <x:c r="D16" s="52" t="str">
        <x:v>存贷款规模</x:v>
      </x:c>
      <x:c r="E16" s="52" t="str">
        <x:v>金融机构本外币存款余额、贷款余额。</x:v>
      </x:c>
      <x:c r="F16" s="52" t="str">
        <x:v>否</x:v>
      </x:c>
      <x:c r="G16" s="52" t="str">
        <x:v>扩大金融口径检验</x:v>
      </x:c>
      <x:c r="H16" s="52" t="str">
        <x:v>归F，不归I。</x:v>
      </x:c>
      <x:c r="I16" s="52" t="str">
        <x:v>统计年鉴；人民银行；地方统计局</x:v>
      </x:c>
      <x:c r="J16" s="52" t="str">
        <x:v>按地区年份提取存款和贷款余额，可标准化处理。</x:v>
      </x:c>
      <x:c r="K16" s="52" t="str">
        <x:v>本外币存款余额；本外币贷款余额；金融机构</x:v>
      </x:c>
      <x:c r="L16" s="52" t="str">
        <x:v>省份-年份/城市-年份</x:v>
      </x:c>
      <x:c r="M16" s="52" t="str">
        <x:v>较可得</x:v>
      </x:c>
      <x:c r="N16" s="52" t="str">
        <x:v>低</x:v>
      </x:c>
      <x:c r="O16" s="31" t="str">
        <x:v>反映总体金融资源，不直接代表科技金融。</x:v>
      </x:c>
    </x:row>
    <x:row r="17" ht="54" customHeight="1">
      <x:c r="A17" s="34" t="str">
        <x:v>金融系统 F</x:v>
      </x:c>
      <x:c r="B17" s="54" t="str">
        <x:v>F3_CAPITAL_MARKET</x:v>
      </x:c>
      <x:c r="C17" s="54" t="str">
        <x:v>扩大口径</x:v>
      </x:c>
      <x:c r="D17" s="54" t="str">
        <x:v>资本市场发展水平</x:v>
      </x:c>
      <x:c r="E17" s="54" t="str">
        <x:v>上市公司数量、直接融资规模、新三板/区域股权市场挂牌等。</x:v>
      </x:c>
      <x:c r="F17" s="54" t="str">
        <x:v>否</x:v>
      </x:c>
      <x:c r="G17" s="54" t="str">
        <x:v>扩大金融口径检验</x:v>
      </x:c>
      <x:c r="H17" s="54" t="str">
        <x:v>融资平台归F；上市AI企业数量可另计I但需避免重复。</x:v>
      </x:c>
      <x:c r="I17" s="54" t="str">
        <x:v>Wind；CSMAR；交易所；地方金融局</x:v>
      </x:c>
      <x:c r="J17" s="54" t="str">
        <x:v>按注册地和年份统计上市/挂牌/直接融资数据。</x:v>
      </x:c>
      <x:c r="K17" s="54" t="str">
        <x:v>上市公司；直接融资；新三板；区域股权市场；IPO</x:v>
      </x:c>
      <x:c r="L17" s="54" t="str">
        <x:v>省份-年份/城市-年份</x:v>
      </x:c>
      <x:c r="M17" s="54" t="str">
        <x:v>可得但需数据库</x:v>
      </x:c>
      <x:c r="N17" s="54" t="str">
        <x:v>中</x:v>
      </x:c>
      <x:c r="O17" s="35" t="str">
        <x:v>金融系统宽口径，适合三系统耦合检验。</x:v>
      </x:c>
    </x:row>
    <x:row r="18" ht="54" customHeight="1">
      <x:c r="A18" s="30" t="str">
        <x:v>金融系统 F</x:v>
      </x:c>
      <x:c r="B18" s="52" t="str">
        <x:v>F3_INSURANCE_GUARANTEE</x:v>
      </x:c>
      <x:c r="C18" s="52" t="str">
        <x:v>扩大口径</x:v>
      </x:c>
      <x:c r="D18" s="52" t="str">
        <x:v>保险与风险分担支持</x:v>
      </x:c>
      <x:c r="E18" s="52" t="str">
        <x:v>科技保险、研发保险、首台套保险、保证保险等风险分担工具。</x:v>
      </x:c>
      <x:c r="F18" s="52" t="str">
        <x:v>否</x:v>
      </x:c>
      <x:c r="G18" s="52" t="str">
        <x:v>扩大金融口径检验</x:v>
      </x:c>
      <x:c r="H18" s="52" t="str">
        <x:v>归F，不放I。</x:v>
      </x:c>
      <x:c r="I18" s="52" t="str">
        <x:v>保险行业协会；金融监管局；政府政策公报</x:v>
      </x:c>
      <x:c r="J18" s="52" t="str">
        <x:v>收集科技保险或首台套保险统计，按地区年份整理。</x:v>
      </x:c>
      <x:c r="K18" s="52" t="str">
        <x:v>科技保险；首台套保险；研发保险；保证保险</x:v>
      </x:c>
      <x:c r="L18" s="52" t="str">
        <x:v>省份-年份/城市-年份</x:v>
      </x:c>
      <x:c r="M18" s="52" t="str">
        <x:v>公开性一般</x:v>
      </x:c>
      <x:c r="N18" s="52" t="str">
        <x:v>高</x:v>
      </x:c>
      <x:c r="O18" s="31" t="str">
        <x:v>可解释AI产业高风险和长周期特征，但数据难。</x:v>
      </x:c>
    </x:row>
    <x:row r="19" ht="54" customHeight="1">
      <x:c r="A19" s="36" t="str">
        <x:v>金融系统 F</x:v>
      </x:c>
      <x:c r="B19" s="55" t="str">
        <x:v>F3_FINTECH_ENV</x:v>
      </x:c>
      <x:c r="C19" s="55" t="str">
        <x:v>扩大口径</x:v>
      </x:c>
      <x:c r="D19" s="55" t="str">
        <x:v>金融科技环境</x:v>
      </x:c>
      <x:c r="E19" s="55" t="str">
        <x:v>金融科技企业、金融科技试点、数字金融基础设施等区域金融数字化条件。</x:v>
      </x:c>
      <x:c r="F19" s="55" t="str">
        <x:v>否</x:v>
      </x:c>
      <x:c r="G19" s="55" t="str">
        <x:v>扩大金融口径检验</x:v>
      </x:c>
      <x:c r="H19" s="55" t="str">
        <x:v>金融科技企业若提供金融服务归F；若提供AI技术方案可作为I需明确区分。</x:v>
      </x:c>
      <x:c r="I19" s="55" t="str">
        <x:v>地方金融局；人民银行试点；企查查；政策文件</x:v>
      </x:c>
      <x:c r="J19" s="55" t="str">
        <x:v>按金融科技关键词和政策试点名单整理。</x:v>
      </x:c>
      <x:c r="K19" s="55" t="str">
        <x:v>金融科技；监管沙盒；数字金融；智能风控；科技金融平台</x:v>
      </x:c>
      <x:c r="L19" s="55" t="str">
        <x:v>省份-年份/城市-年份</x:v>
      </x:c>
      <x:c r="M19" s="55" t="str">
        <x:v>边界复杂</x:v>
      </x:c>
      <x:c r="N19" s="55" t="str">
        <x:v>高</x:v>
      </x:c>
      <x:c r="O19" s="37" t="str">
        <x:v>用于拓展金融系统，不建议放主模型。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2.209999084472656" hidden="0" customWidth="1"/>
    <x:col min="3" max="3" width="11.170000076293945" hidden="0" customWidth="1"/>
    <x:col min="4" max="4" width="24.229999542236328" hidden="0" customWidth="1"/>
    <x:col min="5" max="5" width="43.7400016784668" hidden="0" customWidth="1"/>
    <x:col min="6" max="6" width="9.420000076293945" hidden="0" customWidth="1"/>
    <x:col min="7" max="7" width="16.81999969482422" hidden="0" customWidth="1"/>
    <x:col min="8" max="8" width="32.970001220703125" hidden="0" customWidth="1"/>
    <x:col min="9" max="9" width="34.31999969482422" hidden="0" customWidth="1"/>
    <x:col min="10" max="10" width="45.09000015258789" hidden="0" customWidth="1"/>
    <x:col min="11" max="11" width="39.70000076293945" hidden="0" customWidth="1"/>
    <x:col min="12" max="12" width="16.81999969482422" hidden="0" customWidth="1"/>
    <x:col min="13" max="13" width="19.520000457763672" hidden="0" customWidth="1"/>
    <x:col min="14" max="14" width="10.770000457763672" hidden="0" customWidth="1"/>
    <x:col min="15" max="15" width="43.7400016784668" hidden="0" customWidth="1"/>
  </x:cols>
  <x:sheetData>
    <x:row r="1" ht="25.5" customHeight="1">
      <x:c r="A1" s="4" t="str">
        <x:v>三系统指标总采集清单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3">
      <x:c r="A3" s="13" t="str">
        <x:v>系统</x:v>
      </x:c>
      <x:c r="B3" s="45" t="str">
        <x:v>变量代码</x:v>
      </x:c>
      <x:c r="C3" s="45" t="str">
        <x:v>口径层级</x:v>
      </x:c>
      <x:c r="D3" s="45" t="str">
        <x:v>指标名称</x:v>
      </x:c>
      <x:c r="E3" s="45" t="str">
        <x:v>指标解释/纳入边界</x:v>
      </x:c>
      <x:c r="F3" s="45" t="str">
        <x:v>是否主模型</x:v>
      </x:c>
      <x:c r="G3" s="45" t="str">
        <x:v>口径检验用途</x:v>
      </x:c>
      <x:c r="H3" s="45" t="str">
        <x:v>金融系统边界约束</x:v>
      </x:c>
      <x:c r="I3" s="45" t="str">
        <x:v>推荐数据源</x:v>
      </x:c>
      <x:c r="J3" s="45" t="str">
        <x:v>采集方法</x:v>
      </x:c>
      <x:c r="K3" s="45" t="str">
        <x:v>检索关键词/识别规则</x:v>
      </x:c>
      <x:c r="L3" s="45" t="str">
        <x:v>数据粒度</x:v>
      </x:c>
      <x:c r="M3" s="45" t="str">
        <x:v>年份可得性</x:v>
      </x:c>
      <x:c r="N3" s="45" t="str">
        <x:v>数据难度</x:v>
      </x:c>
      <x:c r="O3" s="14" t="str">
        <x:v>核验要点/备注</x:v>
      </x:c>
    </x:row>
    <x:row r="4" ht="54" customHeight="1">
      <x:c r="A4" s="28" t="str">
        <x:v>教育系统 E</x:v>
      </x:c>
      <x:c r="B4" s="51" t="str">
        <x:v>E1_AI_MAJOR_COUNT</x:v>
      </x:c>
      <x:c r="C4" s="51" t="str">
        <x:v>保守口径</x:v>
      </x:c>
      <x:c r="D4" s="51" t="str">
        <x:v>人工智能专业数量</x:v>
      </x:c>
      <x:c r="E4" s="51" t="str">
        <x:v>只统计本科专业名称明确为“人工智能”的专业点。</x:v>
      </x:c>
      <x:c r="F4" s="51" t="str">
        <x:v>否</x:v>
      </x:c>
      <x:c r="G4" s="51" t="str">
        <x:v>底线检验</x:v>
      </x:c>
      <x:c r="H4" s="51" t="str">
        <x:v>不涉及金融变量。</x:v>
      </x:c>
      <x:c r="I4" s="51" t="str">
        <x:v>教育部本科专业备案与审批结果；福建省教育厅；高校官网</x:v>
      </x:c>
      <x:c r="J4" s="51" t="str">
        <x:v>逐年下载教育部专业备案/审批文件，按学校所在省份、专业名称、年度计数。</x:v>
      </x:c>
      <x:c r="K4" s="51" t="str">
        <x:v>专业名称=人工智能；省份=福建或省际样本</x:v>
      </x:c>
      <x:c r="L4" s="51" t="str">
        <x:v>省份-年份/高校-年份</x:v>
      </x:c>
      <x:c r="M4" s="51" t="str">
        <x:v>2018年后较可得，以教育部实际文件为准</x:v>
      </x:c>
      <x:c r="N4" s="51" t="str">
        <x:v>低</x:v>
      </x:c>
      <x:c r="O4" s="29" t="str">
        <x:v>最干净，但样本可能偏小，适合作为保守口径。</x:v>
      </x:c>
    </x:row>
    <x:row r="5" ht="54" customHeight="1">
      <x:c r="A5" s="34" t="str">
        <x:v>教育系统 E</x:v>
      </x:c>
      <x:c r="B5" s="54" t="str">
        <x:v>E1_AI_SCHOOL_COUNT</x:v>
      </x:c>
      <x:c r="C5" s="54" t="str">
        <x:v>保守口径</x:v>
      </x:c>
      <x:c r="D5" s="54" t="str">
        <x:v>开设人工智能专业高校数量</x:v>
      </x:c>
      <x:c r="E5" s="54" t="str">
        <x:v>统计至少开设一个人工智能专业的高校数量。</x:v>
      </x:c>
      <x:c r="F5" s="54" t="str">
        <x:v>否</x:v>
      </x:c>
      <x:c r="G5" s="54" t="str">
        <x:v>底线检验</x:v>
      </x:c>
      <x:c r="H5" s="54" t="str">
        <x:v>不涉及金融变量。</x:v>
      </x:c>
      <x:c r="I5" s="54" t="str">
        <x:v>教育部本科专业备案与审批结果；高校招生网</x:v>
      </x:c>
      <x:c r="J5" s="54" t="str">
        <x:v>从专业备案表去重高校名称，按省份和年份汇总。</x:v>
      </x:c>
      <x:c r="K5" s="54" t="str">
        <x:v>专业名称=人工智能；高校名称去重</x:v>
      </x:c>
      <x:c r="L5" s="54" t="str">
        <x:v>省份-年份</x:v>
      </x:c>
      <x:c r="M5" s="54" t="str">
        <x:v>2018年后较可得</x:v>
      </x:c>
      <x:c r="N5" s="54" t="str">
        <x:v>低</x:v>
      </x:c>
      <x:c r="O5" s="35" t="str">
        <x:v>比专业数量更稳，能避免同一高校多个专业方向重复计数。</x:v>
      </x:c>
    </x:row>
    <x:row r="6" ht="54" customHeight="1">
      <x:c r="A6" s="30" t="str">
        <x:v>教育系统 E</x:v>
      </x:c>
      <x:c r="B6" s="52" t="str">
        <x:v>E1_AI_INSTITUTE_COUNT</x:v>
      </x:c>
      <x:c r="C6" s="52" t="str">
        <x:v>保守口径</x:v>
      </x:c>
      <x:c r="D6" s="52" t="str">
        <x:v>人工智能学院/研究院数量</x:v>
      </x:c>
      <x:c r="E6" s="52" t="str">
        <x:v>只纳入校内机构名称明确包含人工智能的学院、研究院、中心。</x:v>
      </x:c>
      <x:c r="F6" s="52" t="str">
        <x:v>否</x:v>
      </x:c>
      <x:c r="G6" s="52" t="str">
        <x:v>底线检验</x:v>
      </x:c>
      <x:c r="H6" s="52" t="str">
        <x:v>不涉及金融变量。</x:v>
      </x:c>
      <x:c r="I6" s="52" t="str">
        <x:v>高校官网；福建省教育厅；学校组织机构页面</x:v>
      </x:c>
      <x:c r="J6" s="52" t="str">
        <x:v>用高校名单逐校检索官网，人工核验机构名称和成立时间。</x:v>
      </x:c>
      <x:c r="K6" s="52" t="str">
        <x:v>人工智能学院；人工智能研究院；人工智能研究中心</x:v>
      </x:c>
      <x:c r="L6" s="52" t="str">
        <x:v>高校-年份/省份-年份</x:v>
      </x:c>
      <x:c r="M6" s="52" t="str">
        <x:v>需人工整理，部分年份不完整</x:v>
      </x:c>
      <x:c r="N6" s="52" t="str">
        <x:v>中</x:v>
      </x:c>
      <x:c r="O6" s="31" t="str">
        <x:v>可作为教育组织形态证据，不建议单独作为核心变量。</x:v>
      </x:c>
    </x:row>
    <x:row r="7" ht="54" customHeight="1">
      <x:c r="A7" s="34" t="str">
        <x:v>教育系统 E</x:v>
      </x:c>
      <x:c r="B7" s="54" t="str">
        <x:v>E1_AI_GRAD_POINT</x:v>
      </x:c>
      <x:c r="C7" s="54" t="str">
        <x:v>保守口径</x:v>
      </x:c>
      <x:c r="D7" s="54" t="str">
        <x:v>AI相关硕博点/研究方向数量</x:v>
      </x:c>
      <x:c r="E7" s="54" t="str">
        <x:v>只纳入学位授权点或招生目录中明确标注人工智能、模式识别、机器学习等方向的硕博培养点。</x:v>
      </x:c>
      <x:c r="F7" s="54" t="str">
        <x:v>否</x:v>
      </x:c>
      <x:c r="G7" s="54" t="str">
        <x:v>底线检验</x:v>
      </x:c>
      <x:c r="H7" s="54" t="str">
        <x:v>不涉及金融变量。</x:v>
      </x:c>
      <x:c r="I7" s="54" t="str">
        <x:v>国务院学位委员会；研招网；高校研究生院招生目录</x:v>
      </x:c>
      <x:c r="J7" s="54" t="str">
        <x:v>下载学位点名单和研究生招生目录，按学科方向关键词识别。</x:v>
      </x:c>
      <x:c r="K7" s="54" t="str">
        <x:v>人工智能；模式识别；机器学习；计算机视觉；自然语言处理</x:v>
      </x:c>
      <x:c r="L7" s="54" t="str">
        <x:v>高校-年份/省份-年份</x:v>
      </x:c>
      <x:c r="M7" s="54" t="str">
        <x:v>年度连续性一般</x:v>
      </x:c>
      <x:c r="N7" s="54" t="str">
        <x:v>中-高</x:v>
      </x:c>
      <x:c r="O7" s="35" t="str">
        <x:v>更能体现高层次人才培养，但口径需要人工复核。</x:v>
      </x:c>
    </x:row>
    <x:row r="8" ht="54" customHeight="1">
      <x:c r="A8" s="30" t="str">
        <x:v>教育系统 E</x:v>
      </x:c>
      <x:c r="B8" s="52" t="str">
        <x:v>E2_CORE_MAJOR_COUNT</x:v>
      </x:c>
      <x:c r="C8" s="52" t="str">
        <x:v>基本口径</x:v>
      </x:c>
      <x:c r="D8" s="52" t="str">
        <x:v>AI核心专业群数量</x:v>
      </x:c>
      <x:c r="E8" s="52" t="str">
        <x:v>纳入人工智能、智能科学与技术、数据科学与大数据技术、机器人工程、智能制造工程等强相关专业。</x:v>
      </x:c>
      <x:c r="F8" s="52" t="str">
        <x:v>是</x:v>
      </x:c>
      <x:c r="G8" s="52" t="str">
        <x:v>主结果</x:v>
      </x:c>
      <x:c r="H8" s="52" t="str">
        <x:v>不涉及金融变量。</x:v>
      </x:c>
      <x:c r="I8" s="52" t="str">
        <x:v>教育部专业备案；高校招生专业目录；省教育厅</x:v>
      </x:c>
      <x:c r="J8" s="52" t="str">
        <x:v>建立AI核心专业关键词表，按专业名称匹配并按省份-年份计数。</x:v>
      </x:c>
      <x:c r="K8" s="52" t="str">
        <x:v>人工智能；智能科学与技术；数据科学与大数据技术；机器人工程；智能制造工程</x:v>
      </x:c>
      <x:c r="L8" s="52" t="str">
        <x:v>省份-年份/高校-年份</x:v>
      </x:c>
      <x:c r="M8" s="52" t="str">
        <x:v>多数专业2015年后逐步可得</x:v>
      </x:c>
      <x:c r="N8" s="52" t="str">
        <x:v>中</x:v>
      </x:c>
      <x:c r="O8" s="31" t="str">
        <x:v>推荐作为主模型E变量的核心口径。</x:v>
      </x:c>
    </x:row>
    <x:row r="9" ht="54" customHeight="1">
      <x:c r="A9" s="34" t="str">
        <x:v>教育系统 E</x:v>
      </x:c>
      <x:c r="B9" s="54" t="str">
        <x:v>E2_CORE_SCHOOL_COUNT</x:v>
      </x:c>
      <x:c r="C9" s="54" t="str">
        <x:v>基本口径</x:v>
      </x:c>
      <x:c r="D9" s="54" t="str">
        <x:v>开设AI核心专业群高校数量</x:v>
      </x:c>
      <x:c r="E9" s="54" t="str">
        <x:v>统计开设至少一个AI核心专业群专业的高校数量。</x:v>
      </x:c>
      <x:c r="F9" s="54" t="str">
        <x:v>是</x:v>
      </x:c>
      <x:c r="G9" s="54" t="str">
        <x:v>主结果</x:v>
      </x:c>
      <x:c r="H9" s="54" t="str">
        <x:v>不涉及金融变量。</x:v>
      </x:c>
      <x:c r="I9" s="54" t="str">
        <x:v>教育部专业备案；高校招生网</x:v>
      </x:c>
      <x:c r="J9" s="54" t="str">
        <x:v>按AI核心专业群匹配后，对高校名称去重汇总。</x:v>
      </x:c>
      <x:c r="K9" s="54" t="str">
        <x:v>AI核心专业群关键词；高校去重</x:v>
      </x:c>
      <x:c r="L9" s="54" t="str">
        <x:v>省份-年份</x:v>
      </x:c>
      <x:c r="M9" s="54" t="str">
        <x:v>较可得</x:v>
      </x:c>
      <x:c r="N9" s="54" t="str">
        <x:v>中</x:v>
      </x:c>
      <x:c r="O9" s="35" t="str">
        <x:v>可降低单校多专业带来的重复扩张。</x:v>
      </x:c>
    </x:row>
    <x:row r="10" ht="54" customHeight="1">
      <x:c r="A10" s="30" t="str">
        <x:v>教育系统 E</x:v>
      </x:c>
      <x:c r="B10" s="52" t="str">
        <x:v>E2_ENROLL_PLAN</x:v>
      </x:c>
      <x:c r="C10" s="52" t="str">
        <x:v>基本口径</x:v>
      </x:c>
      <x:c r="D10" s="52" t="str">
        <x:v>AI核心专业招生计划人数</x:v>
      </x:c>
      <x:c r="E10" s="52" t="str">
        <x:v>AI核心专业群的招生计划或实际招生人数。</x:v>
      </x:c>
      <x:c r="F10" s="52" t="str">
        <x:v>可选</x:v>
      </x:c>
      <x:c r="G10" s="52" t="str">
        <x:v>主结果增强</x:v>
      </x:c>
      <x:c r="H10" s="52" t="str">
        <x:v>不涉及金融变量。</x:v>
      </x:c>
      <x:c r="I10" s="52" t="str">
        <x:v>高校招生计划；阳光高考；省教育考试院</x:v>
      </x:c>
      <x:c r="J10" s="52" t="str">
        <x:v>抓取或人工下载各校招生计划，按专业关键词和省份汇总。</x:v>
      </x:c>
      <x:c r="K10" s="52" t="str">
        <x:v>AI核心专业名称；招生计划；专业代码</x:v>
      </x:c>
      <x:c r="L10" s="52" t="str">
        <x:v>高校-年份/省份-年份</x:v>
      </x:c>
      <x:c r="M10" s="52" t="str">
        <x:v>公开但格式分散</x:v>
      </x:c>
      <x:c r="N10" s="52" t="str">
        <x:v>高</x:v>
      </x:c>
      <x:c r="O10" s="31" t="str">
        <x:v>若难以连续获取，可先用专业数量替代。</x:v>
      </x:c>
    </x:row>
    <x:row r="11" ht="54" customHeight="1">
      <x:c r="A11" s="34" t="str">
        <x:v>教育系统 E</x:v>
      </x:c>
      <x:c r="B11" s="54" t="str">
        <x:v>E2_AI_PLATFORM_COUNT</x:v>
      </x:c>
      <x:c r="C11" s="54" t="str">
        <x:v>基本口径</x:v>
      </x:c>
      <x:c r="D11" s="54" t="str">
        <x:v>AI相关重点实验室/产业学院/协同创新平台数量</x:v>
      </x:c>
      <x:c r="E11" s="54" t="str">
        <x:v>纳入名称或研究方向明确与AI相关的实验室、产业学院、协同创新中心。</x:v>
      </x:c>
      <x:c r="F11" s="54" t="str">
        <x:v>可选</x:v>
      </x:c>
      <x:c r="G11" s="54" t="str">
        <x:v>主结果增强</x:v>
      </x:c>
      <x:c r="H11" s="54" t="str">
        <x:v>若平台由基金资助，不把资金金额计入E。</x:v>
      </x:c>
      <x:c r="I11" s="54" t="str">
        <x:v>高校官网；教育部/科技厅平台名单；省教育厅</x:v>
      </x:c>
      <x:c r="J11" s="54" t="str">
        <x:v>收集官方平台名单，按名称和研究方向关键词识别。</x:v>
      </x:c>
      <x:c r="K11" s="54" t="str">
        <x:v>人工智能；智能计算；机器学习；智能制造；大数据智能</x:v>
      </x:c>
      <x:c r="L11" s="54" t="str">
        <x:v>高校-年份/省份-年份</x:v>
      </x:c>
      <x:c r="M11" s="54" t="str">
        <x:v>名单可得，年份需核验</x:v>
      </x:c>
      <x:c r="N11" s="54" t="str">
        <x:v>中-高</x:v>
      </x:c>
      <x:c r="O11" s="35" t="str">
        <x:v>体现产教融合载体，但不宜与金融支持混同。</x:v>
      </x:c>
    </x:row>
    <x:row r="12" ht="54" customHeight="1">
      <x:c r="A12" s="30" t="str">
        <x:v>教育系统 E</x:v>
      </x:c>
      <x:c r="B12" s="52" t="str">
        <x:v>E2_AI_COURSE_COVERAGE</x:v>
      </x:c>
      <x:c r="C12" s="52" t="str">
        <x:v>基本口径</x:v>
      </x:c>
      <x:c r="D12" s="52" t="str">
        <x:v>AI核心课程覆盖度</x:v>
      </x:c>
      <x:c r="E12" s="52" t="str">
        <x:v>机器学习、深度学习、NLP、CV、数据挖掘、AI伦理等课程在培养方案中的覆盖情况。</x:v>
      </x:c>
      <x:c r="F12" s="52" t="str">
        <x:v>可选</x:v>
      </x:c>
      <x:c r="G12" s="52" t="str">
        <x:v>机制解释</x:v>
      </x:c>
      <x:c r="H12" s="52" t="str">
        <x:v>不涉及金融变量。</x:v>
      </x:c>
      <x:c r="I12" s="52" t="str">
        <x:v>高校培养方案；学院官网；课程大纲</x:v>
      </x:c>
      <x:c r="J12" s="52" t="str">
        <x:v>抽取培养方案PDF/网页，按课程关键词计数或构造覆盖率。</x:v>
      </x:c>
      <x:c r="K12" s="52" t="str">
        <x:v>机器学习；深度学习；自然语言处理；计算机视觉；数据挖掘；AI伦理</x:v>
      </x:c>
      <x:c r="L12" s="52" t="str">
        <x:v>高校-年份</x:v>
      </x:c>
      <x:c r="M12" s="52" t="str">
        <x:v>人工整理为主</x:v>
      </x:c>
      <x:c r="N12" s="52" t="str">
        <x:v>高</x:v>
      </x:c>
      <x:c r="O12" s="31" t="str">
        <x:v>很能支撑AI教育独立性，但大样本采集成本高。</x:v>
      </x:c>
    </x:row>
    <x:row r="13" ht="54" customHeight="1">
      <x:c r="A13" s="34" t="str">
        <x:v>教育系统 E</x:v>
      </x:c>
      <x:c r="B13" s="54" t="str">
        <x:v>E2_AI_TEACHER_COUNT</x:v>
      </x:c>
      <x:c r="C13" s="54" t="str">
        <x:v>基本口径</x:v>
      </x:c>
      <x:c r="D13" s="54" t="str">
        <x:v>AI方向教师/导师数量</x:v>
      </x:c>
      <x:c r="E13" s="54" t="str">
        <x:v>教师研究方向明确包含AI核心技术的专任教师或导师数量。</x:v>
      </x:c>
      <x:c r="F13" s="54" t="str">
        <x:v>可选</x:v>
      </x:c>
      <x:c r="G13" s="54" t="str">
        <x:v>机制解释</x:v>
      </x:c>
      <x:c r="H13" s="54" t="str">
        <x:v>不涉及金融变量。</x:v>
      </x:c>
      <x:c r="I13" s="54" t="str">
        <x:v>高校教师主页；学院师资页面；研究生导师库</x:v>
      </x:c>
      <x:c r="J13" s="54" t="str">
        <x:v>逐校抓取师资页面，按研究方向关键词识别并人工抽样核验。</x:v>
      </x:c>
      <x:c r="K13" s="54" t="str">
        <x:v>人工智能；机器学习；深度学习；NLP；CV；智能计算</x:v>
      </x:c>
      <x:c r="L13" s="54" t="str">
        <x:v>高校-年份</x:v>
      </x:c>
      <x:c r="M13" s="54" t="str">
        <x:v>年度连续性弱</x:v>
      </x:c>
      <x:c r="N13" s="54" t="str">
        <x:v>高</x:v>
      </x:c>
      <x:c r="O13" s="35" t="str">
        <x:v>可作为教育能力补充，不建议作为主变量。</x:v>
      </x:c>
    </x:row>
    <x:row r="14" ht="54" customHeight="1">
      <x:c r="A14" s="30" t="str">
        <x:v>教育系统 E</x:v>
      </x:c>
      <x:c r="B14" s="52" t="str">
        <x:v>E3_SUPPORT_MAJOR_COUNT</x:v>
      </x:c>
      <x:c r="C14" s="52" t="str">
        <x:v>扩大口径</x:v>
      </x:c>
      <x:c r="D14" s="52" t="str">
        <x:v>AI支撑专业数量</x:v>
      </x:c>
      <x:c r="E14" s="52" t="str">
        <x:v>在基本口径基础上加入计算机科学与技术、软件工程、自动化、电子信息、物联网工程等支撑专业。</x:v>
      </x:c>
      <x:c r="F14" s="52" t="str">
        <x:v>否</x:v>
      </x:c>
      <x:c r="G14" s="52" t="str">
        <x:v>扩大口径检验</x:v>
      </x:c>
      <x:c r="H14" s="52" t="str">
        <x:v>不涉及金融变量。</x:v>
      </x:c>
      <x:c r="I14" s="52" t="str">
        <x:v>教育部专业备案；高校招生目录</x:v>
      </x:c>
      <x:c r="J14" s="52" t="str">
        <x:v>建立AI支撑专业清单，按专业名称匹配并汇总。</x:v>
      </x:c>
      <x:c r="K14" s="52" t="str">
        <x:v>计算机科学与技术；软件工程；自动化；电子信息；物联网工程；网络工程</x:v>
      </x:c>
      <x:c r="L14" s="52" t="str">
        <x:v>省份-年份/高校-年份</x:v>
      </x:c>
      <x:c r="M14" s="52" t="str">
        <x:v>较可得</x:v>
      </x:c>
      <x:c r="N14" s="52" t="str">
        <x:v>中</x:v>
      </x:c>
      <x:c r="O14" s="31" t="str">
        <x:v>口径较宽，必须说明用于稳健性而非主结论。</x:v>
      </x:c>
    </x:row>
    <x:row r="15" ht="54" customHeight="1">
      <x:c r="A15" s="34" t="str">
        <x:v>教育系统 E</x:v>
      </x:c>
      <x:c r="B15" s="54" t="str">
        <x:v>E3_AI_X_COURSE_COUNT</x:v>
      </x:c>
      <x:c r="C15" s="54" t="str">
        <x:v>扩大口径</x:v>
      </x:c>
      <x:c r="D15" s="54" t="str">
        <x:v>AI+X课程/通识课程数量</x:v>
      </x:c>
      <x:c r="E15" s="54" t="str">
        <x:v>面向非计算机专业的AI通识课、AI+金融、AI+医学、AI+制造等跨学科课程。</x:v>
      </x:c>
      <x:c r="F15" s="54" t="str">
        <x:v>否</x:v>
      </x:c>
      <x:c r="G15" s="54" t="str">
        <x:v>扩大口径检验</x:v>
      </x:c>
      <x:c r="H15" s="54" t="str">
        <x:v>不涉及金融变量。</x:v>
      </x:c>
      <x:c r="I15" s="54" t="str">
        <x:v>高校教务处；课程中心；培养方案</x:v>
      </x:c>
      <x:c r="J15" s="54" t="str">
        <x:v>抓取课程列表或培养方案，按AI+X关键词计数。</x:v>
      </x:c>
      <x:c r="K15" s="54" t="str">
        <x:v>AI+；人工智能通识；智能金融；智慧医疗；智能制造</x:v>
      </x:c>
      <x:c r="L15" s="54" t="str">
        <x:v>高校-年份</x:v>
      </x:c>
      <x:c r="M15" s="54" t="str">
        <x:v>公开但分散</x:v>
      </x:c>
      <x:c r="N15" s="54" t="str">
        <x:v>高</x:v>
      </x:c>
      <x:c r="O15" s="35" t="str">
        <x:v>适合理论说明AI跨学科扩散，量化难度较大。</x:v>
      </x:c>
    </x:row>
    <x:row r="16" ht="54" customHeight="1">
      <x:c r="A16" s="30" t="str">
        <x:v>教育系统 E</x:v>
      </x:c>
      <x:c r="B16" s="52" t="str">
        <x:v>E3_AI_COMPETITION_BASE</x:v>
      </x:c>
      <x:c r="C16" s="52" t="str">
        <x:v>扩大口径</x:v>
      </x:c>
      <x:c r="D16" s="52" t="str">
        <x:v>AI竞赛/创新实践基地数量</x:v>
      </x:c>
      <x:c r="E16" s="52" t="str">
        <x:v>AI相关学科竞赛、创新创业基地、实训基地。</x:v>
      </x:c>
      <x:c r="F16" s="52" t="str">
        <x:v>否</x:v>
      </x:c>
      <x:c r="G16" s="52" t="str">
        <x:v>扩大口径检验</x:v>
      </x:c>
      <x:c r="H16" s="52" t="str">
        <x:v>涉及企业赞助时只计基地/项目，不计资金。</x:v>
      </x:c>
      <x:c r="I16" s="52" t="str">
        <x:v>高校创新创业学院；教育厅竞赛名单；赛事官网</x:v>
      </x:c>
      <x:c r="J16" s="52" t="str">
        <x:v>按赛事和基地官方名单整理，匹配高校和年份。</x:v>
      </x:c>
      <x:c r="K16" s="52" t="str">
        <x:v>人工智能竞赛；机器人大赛；大数据竞赛；创新实践基地</x:v>
      </x:c>
      <x:c r="L16" s="52" t="str">
        <x:v>高校-年份/省份-年份</x:v>
      </x:c>
      <x:c r="M16" s="52" t="str">
        <x:v>部分可得</x:v>
      </x:c>
      <x:c r="N16" s="52" t="str">
        <x:v>中-高</x:v>
      </x:c>
      <x:c r="O16" s="31" t="str">
        <x:v>更适合作为教育实践能力补充。</x:v>
      </x:c>
    </x:row>
    <x:row r="17" ht="54" customHeight="1">
      <x:c r="A17" s="34" t="str">
        <x:v>教育系统 E</x:v>
      </x:c>
      <x:c r="B17" s="54" t="str">
        <x:v>E3_UNIV_AI_PUBLICATION</x:v>
      </x:c>
      <x:c r="C17" s="54" t="str">
        <x:v>扩大口径</x:v>
      </x:c>
      <x:c r="D17" s="54" t="str">
        <x:v>高校AI论文数量</x:v>
      </x:c>
      <x:c r="E17" s="54" t="str">
        <x:v>高校作者发表的AI相关论文数量，作为高校知识产出补充。</x:v>
      </x:c>
      <x:c r="F17" s="54" t="str">
        <x:v>否</x:v>
      </x:c>
      <x:c r="G17" s="54" t="str">
        <x:v>扩大口径/补充机制</x:v>
      </x:c>
      <x:c r="H17" s="54" t="str">
        <x:v>不计论文经费来源，避免与F重叠。</x:v>
      </x:c>
      <x:c r="I17" s="54" t="str">
        <x:v>CNKI；Web of Science；Scopus；高校科研统计</x:v>
      </x:c>
      <x:c r="J17" s="54" t="str">
        <x:v>以高校为作者单位，按AI关键词检索论文，按年份计数。</x:v>
      </x:c>
      <x:c r="K17" s="54" t="str">
        <x:v>人工智能；机器学习；深度学习；NLP；CV；大模型</x:v>
      </x:c>
      <x:c r="L17" s="54" t="str">
        <x:v>高校-年份/省份-年份</x:v>
      </x:c>
      <x:c r="M17" s="54" t="str">
        <x:v>数据库可得但需权限</x:v>
      </x:c>
      <x:c r="N17" s="54" t="str">
        <x:v>高</x:v>
      </x:c>
      <x:c r="O17" s="35" t="str">
        <x:v>严格说是知识产出，不是纯教育供给，建议单列或放拓展。</x:v>
      </x:c>
    </x:row>
    <x:row r="18" ht="54" customHeight="1">
      <x:c r="A18" s="30" t="str">
        <x:v>教育系统 E</x:v>
      </x:c>
      <x:c r="B18" s="52" t="str">
        <x:v>E3_UNIV_AI_PATENT</x:v>
      </x:c>
      <x:c r="C18" s="52" t="str">
        <x:v>扩大口径</x:v>
      </x:c>
      <x:c r="D18" s="52" t="str">
        <x:v>高校AI专利数量</x:v>
      </x:c>
      <x:c r="E18" s="52" t="str">
        <x:v>高校作为申请人的AI相关专利数量。</x:v>
      </x:c>
      <x:c r="F18" s="52" t="str">
        <x:v>否</x:v>
      </x:c>
      <x:c r="G18" s="52" t="str">
        <x:v>扩大口径/补充机制</x:v>
      </x:c>
      <x:c r="H18" s="52" t="str">
        <x:v>高校专利放E拓展；企业专利放I，不能重复。</x:v>
      </x:c>
      <x:c r="I18" s="52" t="str">
        <x:v>国家知识产权局；Incopat；智慧芽；高校知识产权平台</x:v>
      </x:c>
      <x:c r="J18" s="52" t="str">
        <x:v>按申请人类型=高校、AI关键词/分类号检索，按年份汇总。</x:v>
      </x:c>
      <x:c r="K18" s="52" t="str">
        <x:v>人工智能；神经网络；机器学习；图像识别；语音识别</x:v>
      </x:c>
      <x:c r="L18" s="52" t="str">
        <x:v>高校-年份/省份-年份</x:v>
      </x:c>
      <x:c r="M18" s="52" t="str">
        <x:v>可得但清洗成本高</x:v>
      </x:c>
      <x:c r="N18" s="52" t="str">
        <x:v>高</x:v>
      </x:c>
      <x:c r="O18" s="31" t="str">
        <x:v>用于证明高校知识供给，不建议和专业数简单相加。</x:v>
      </x:c>
    </x:row>
    <x:row r="19" ht="54" customHeight="1">
      <x:c r="A19" s="34" t="str">
        <x:v>产业系统 I</x:v>
      </x:c>
      <x:c r="B19" s="54" t="str">
        <x:v>I1_CORE_AI_FIRM_COUNT</x:v>
      </x:c>
      <x:c r="C19" s="54" t="str">
        <x:v>保守口径</x:v>
      </x:c>
      <x:c r="D19" s="54" t="str">
        <x:v>AI核心企业数量</x:v>
      </x:c>
      <x:c r="E19" s="54" t="str">
        <x:v>企业名称、经营范围或主营业务明确包含人工智能及核心算法技术。</x:v>
      </x:c>
      <x:c r="F19" s="54" t="str">
        <x:v>否</x:v>
      </x:c>
      <x:c r="G19" s="54" t="str">
        <x:v>底线检验</x:v>
      </x:c>
      <x:c r="H19" s="54" t="str">
        <x:v>企业融资金额不放入I，留给F。</x:v>
      </x:c>
      <x:c r="I19" s="54" t="str">
        <x:v>企查查；天眼查；爱企查；地方科技厅名单</x:v>
      </x:c>
      <x:c r="J19" s="54" t="str">
        <x:v>按关键词检索企业，筛选存续状态、注册地、成立年份，人工抽样核验。</x:v>
      </x:c>
      <x:c r="K19" s="54" t="str">
        <x:v>人工智能；机器学习；深度学习；智能算法；计算机视觉；自然语言处理</x:v>
      </x:c>
      <x:c r="L19" s="54" t="str">
        <x:v>企业-年份/省份-年份</x:v>
      </x:c>
      <x:c r="M19" s="54" t="str">
        <x:v>企业注册数据较可得</x:v>
      </x:c>
      <x:c r="N19" s="54" t="str">
        <x:v>中</x:v>
      </x:c>
      <x:c r="O19" s="35" t="str">
        <x:v>最窄产业口径，可避免把普通数字企业算入AI产业。</x:v>
      </x:c>
    </x:row>
    <x:row r="20" ht="54" customHeight="1">
      <x:c r="A20" s="30" t="str">
        <x:v>产业系统 I</x:v>
      </x:c>
      <x:c r="B20" s="52" t="str">
        <x:v>I1_CORE_AI_PATENT</x:v>
      </x:c>
      <x:c r="C20" s="52" t="str">
        <x:v>保守口径</x:v>
      </x:c>
      <x:c r="D20" s="52" t="str">
        <x:v>企业AI核心专利数量</x:v>
      </x:c>
      <x:c r="E20" s="52" t="str">
        <x:v>企业申请的AI核心技术相关发明/实用新型专利。</x:v>
      </x:c>
      <x:c r="F20" s="52" t="str">
        <x:v>否</x:v>
      </x:c>
      <x:c r="G20" s="52" t="str">
        <x:v>底线检验</x:v>
      </x:c>
      <x:c r="H20" s="52" t="str">
        <x:v>企业专利放I；高校专利放E拓展，避免重复。</x:v>
      </x:c>
      <x:c r="I20" s="52" t="str">
        <x:v>国家知识产权局；Incopat；智慧芽</x:v>
      </x:c>
      <x:c r="J20" s="52" t="str">
        <x:v>按申请人类型=企业、注册地、AI关键词或IPC/CPC分类检索。</x:v>
      </x:c>
      <x:c r="K20" s="52" t="str">
        <x:v>机器学习；神经网络；图像识别；语音识别；自然语言处理；智能算法</x:v>
      </x:c>
      <x:c r="L20" s="52" t="str">
        <x:v>企业-年份/省份-年份</x:v>
      </x:c>
      <x:c r="M20" s="52" t="str">
        <x:v>可得但需清洗</x:v>
      </x:c>
      <x:c r="N20" s="52" t="str">
        <x:v>高</x:v>
      </x:c>
      <x:c r="O20" s="31" t="str">
        <x:v>比企业名称更能体现技术产出，但关键词误判需核验。</x:v>
      </x:c>
    </x:row>
    <x:row r="21" ht="54" customHeight="1">
      <x:c r="A21" s="34" t="str">
        <x:v>产业系统 I</x:v>
      </x:c>
      <x:c r="B21" s="54" t="str">
        <x:v>I1_AI_SOFTWARE_COPYRIGHT</x:v>
      </x:c>
      <x:c r="C21" s="54" t="str">
        <x:v>保守口径</x:v>
      </x:c>
      <x:c r="D21" s="54" t="str">
        <x:v>AI软件著作权数量</x:v>
      </x:c>
      <x:c r="E21" s="54" t="str">
        <x:v>软件名称或说明明确包含AI核心技术的软件著作权。</x:v>
      </x:c>
      <x:c r="F21" s="54" t="str">
        <x:v>否</x:v>
      </x:c>
      <x:c r="G21" s="54" t="str">
        <x:v>底线检验</x:v>
      </x:c>
      <x:c r="H21" s="54" t="str">
        <x:v>不包括融资、贷款、基金信息。</x:v>
      </x:c>
      <x:c r="I21" s="54" t="str">
        <x:v>中国版权保护中心；企业年报；第三方数据库</x:v>
      </x:c>
      <x:c r="J21" s="54" t="str">
        <x:v>按软件名称关键词检索，匹配权利人所在地和登记年份。</x:v>
      </x:c>
      <x:c r="K21" s="54" t="str">
        <x:v>人工智能；机器学习；智能识别；算法平台；智能分析</x:v>
      </x:c>
      <x:c r="L21" s="54" t="str">
        <x:v>企业-年份/省份-年份</x:v>
      </x:c>
      <x:c r="M21" s="54" t="str">
        <x:v>公开性有限</x:v>
      </x:c>
      <x:c r="N21" s="54" t="str">
        <x:v>中-高</x:v>
      </x:c>
      <x:c r="O21" s="35" t="str">
        <x:v>可作为AI产品化证据，注意去除普通管理软件。</x:v>
      </x:c>
    </x:row>
    <x:row r="22" ht="54" customHeight="1">
      <x:c r="A22" s="30" t="str">
        <x:v>产业系统 I</x:v>
      </x:c>
      <x:c r="B22" s="52" t="str">
        <x:v>I1_ALGORITHM_RECORD</x:v>
      </x:c>
      <x:c r="C22" s="52" t="str">
        <x:v>保守口径</x:v>
      </x:c>
      <x:c r="D22" s="52" t="str">
        <x:v>算法备案/模型产品数量</x:v>
      </x:c>
      <x:c r="E22" s="52" t="str">
        <x:v>生成式AI服务、深度合成服务、推荐算法等备案或模型产品数量。</x:v>
      </x:c>
      <x:c r="F22" s="52" t="str">
        <x:v>否</x:v>
      </x:c>
      <x:c r="G22" s="52" t="str">
        <x:v>底线检验</x:v>
      </x:c>
      <x:c r="H22" s="52" t="str">
        <x:v>备案产品数量放I；投资金额放F。</x:v>
      </x:c>
      <x:c r="I22" s="52" t="str">
        <x:v>网信办算法备案；地方工信/网信部门；企业公告</x:v>
      </x:c>
      <x:c r="J22" s="52" t="str">
        <x:v>下载备案清单，匹配主体所在地和备案时间。</x:v>
      </x:c>
      <x:c r="K22" s="52" t="str">
        <x:v>算法备案；生成式人工智能服务；深度合成；大模型</x:v>
      </x:c>
      <x:c r="L22" s="52" t="str">
        <x:v>企业-年份/省份-年份</x:v>
      </x:c>
      <x:c r="M22" s="52" t="str">
        <x:v>近年可得，历史较短</x:v>
      </x:c>
      <x:c r="N22" s="52" t="str">
        <x:v>中</x:v>
      </x:c>
      <x:c r="O22" s="31" t="str">
        <x:v>适合2022年后研究，时间序列较短。</x:v>
      </x:c>
    </x:row>
    <x:row r="23" ht="54" customHeight="1">
      <x:c r="A23" s="34" t="str">
        <x:v>产业系统 I</x:v>
      </x:c>
      <x:c r="B23" s="54" t="str">
        <x:v>I2_AI_FIRM_COUNT</x:v>
      </x:c>
      <x:c r="C23" s="54" t="str">
        <x:v>基本口径</x:v>
      </x:c>
      <x:c r="D23" s="54" t="str">
        <x:v>AI相关企业数量</x:v>
      </x:c>
      <x:c r="E23" s="54" t="str">
        <x:v>在保守口径基础上加入数据智能、智能机器人、智能感知、算法服务等强相关企业。</x:v>
      </x:c>
      <x:c r="F23" s="54" t="str">
        <x:v>是</x:v>
      </x:c>
      <x:c r="G23" s="54" t="str">
        <x:v>主结果</x:v>
      </x:c>
      <x:c r="H23" s="54" t="str">
        <x:v>不纳入企业融资金额和融资事件。</x:v>
      </x:c>
      <x:c r="I23" s="54" t="str">
        <x:v>企查查；天眼查；爱企查；工信厅/科技厅企业名单</x:v>
      </x:c>
      <x:c r="J23" s="54" t="str">
        <x:v>建立AI产业关键词表，按经营范围、行业标签、产品介绍筛选。</x:v>
      </x:c>
      <x:c r="K23" s="54" t="str">
        <x:v>人工智能；智能机器人；数据智能；智能感知；算法服务；智能识别</x:v>
      </x:c>
      <x:c r="L23" s="54" t="str">
        <x:v>企业-年份/省份-年份</x:v>
      </x:c>
      <x:c r="M23" s="54" t="str">
        <x:v>较可得</x:v>
      </x:c>
      <x:c r="N23" s="54" t="str">
        <x:v>中</x:v>
      </x:c>
      <x:c r="O23" s="35" t="str">
        <x:v>推荐作为主模型I变量的核心口径。</x:v>
      </x:c>
    </x:row>
    <x:row r="24" ht="54" customHeight="1">
      <x:c r="A24" s="30" t="str">
        <x:v>产业系统 I</x:v>
      </x:c>
      <x:c r="B24" s="52" t="str">
        <x:v>I2_AI_HIGH_TECH_FIRM</x:v>
      </x:c>
      <x:c r="C24" s="52" t="str">
        <x:v>基本口径</x:v>
      </x:c>
      <x:c r="D24" s="52" t="str">
        <x:v>AI相关高新技术企业数量</x:v>
      </x:c>
      <x:c r="E24" s="52" t="str">
        <x:v>高新技术企业名单中与AI核心技术或智能产品相关的企业数量。</x:v>
      </x:c>
      <x:c r="F24" s="52" t="str">
        <x:v>是</x:v>
      </x:c>
      <x:c r="G24" s="52" t="str">
        <x:v>主结果增强</x:v>
      </x:c>
      <x:c r="H24" s="52" t="str">
        <x:v>高企获得贷款/补贴金额不放I。</x:v>
      </x:c>
      <x:c r="I24" s="52" t="str">
        <x:v>科技部高新技术企业认定名单；省科技厅</x:v>
      </x:c>
      <x:c r="J24" s="52" t="str">
        <x:v>下载高企名单，按企业名称和经营范围匹配AI关键词。</x:v>
      </x:c>
      <x:c r="K24" s="52" t="str">
        <x:v>高新技术企业；人工智能；智能制造；数据智能；软件算法</x:v>
      </x:c>
      <x:c r="L24" s="52" t="str">
        <x:v>企业-年份/省份-年份</x:v>
      </x:c>
      <x:c r="M24" s="52" t="str">
        <x:v>名单较可得</x:v>
      </x:c>
      <x:c r="N24" s="52" t="str">
        <x:v>中</x:v>
      </x:c>
      <x:c r="O24" s="31" t="str">
        <x:v>能提升企业质量识别，但需防止泛软件企业误入。</x:v>
      </x:c>
    </x:row>
    <x:row r="25" ht="54" customHeight="1">
      <x:c r="A25" s="34" t="str">
        <x:v>产业系统 I</x:v>
      </x:c>
      <x:c r="B25" s="54" t="str">
        <x:v>I2_AI_JOB_COUNT</x:v>
      </x:c>
      <x:c r="C25" s="54" t="str">
        <x:v>基本口径</x:v>
      </x:c>
      <x:c r="D25" s="54" t="str">
        <x:v>AI岗位需求数量</x:v>
      </x:c>
      <x:c r="E25" s="54" t="str">
        <x:v>招聘中明确要求AI算法、机器学习、深度学习、NLP、CV等技能的岗位数量。</x:v>
      </x:c>
      <x:c r="F25" s="54" t="str">
        <x:v>是</x:v>
      </x:c>
      <x:c r="G25" s="54" t="str">
        <x:v>主结果增强</x:v>
      </x:c>
      <x:c r="H25" s="54" t="str">
        <x:v>薪酬金融属性不放F，岗位需求仍属I。</x:v>
      </x:c>
      <x:c r="I25" s="54" t="str">
        <x:v>BOSS直聘；智联招聘；猎聘；拉勾；地方人才网</x:v>
      </x:c>
      <x:c r="J25" s="54" t="str">
        <x:v>按关键词、地区、发布日期抓取岗位，去重后按年份汇总。</x:v>
      </x:c>
      <x:c r="K25" s="54" t="str">
        <x:v>算法工程师；机器学习；深度学习；NLP；CV；大模型；数据科学家</x:v>
      </x:c>
      <x:c r="L25" s="54" t="str">
        <x:v>城市-年份/省份-年份</x:v>
      </x:c>
      <x:c r="M25" s="54" t="str">
        <x:v>平台可得但需合规采集</x:v>
      </x:c>
      <x:c r="N25" s="54" t="str">
        <x:v>高</x:v>
      </x:c>
      <x:c r="O25" s="35" t="str">
        <x:v>很能反映产业吸纳，但平台反爬和重复岗位需处理。</x:v>
      </x:c>
    </x:row>
    <x:row r="26" ht="54" customHeight="1">
      <x:c r="A26" s="30" t="str">
        <x:v>产业系统 I</x:v>
      </x:c>
      <x:c r="B26" s="52" t="str">
        <x:v>I2_AI_PATENT_TOTAL</x:v>
      </x:c>
      <x:c r="C26" s="52" t="str">
        <x:v>基本口径</x:v>
      </x:c>
      <x:c r="D26" s="52" t="str">
        <x:v>企业AI专利总量</x:v>
      </x:c>
      <x:c r="E26" s="52" t="str">
        <x:v>企业端AI相关专利申请量或授权量。</x:v>
      </x:c>
      <x:c r="F26" s="52" t="str">
        <x:v>是</x:v>
      </x:c>
      <x:c r="G26" s="52" t="str">
        <x:v>主结果增强</x:v>
      </x:c>
      <x:c r="H26" s="52" t="str">
        <x:v>只计企业申请人，避免与E高校专利重复。</x:v>
      </x:c>
      <x:c r="I26" s="52" t="str">
        <x:v>国家知识产权局；Incopat；智慧芽</x:v>
      </x:c>
      <x:c r="J26" s="52" t="str">
        <x:v>按企业申请人和AI关键词检索，匹配地区与申请年份。</x:v>
      </x:c>
      <x:c r="K26" s="52" t="str">
        <x:v>人工智能；机器学习；神经网络；图像识别；语音识别；智能控制</x:v>
      </x:c>
      <x:c r="L26" s="52" t="str">
        <x:v>企业-年份/省份-年份</x:v>
      </x:c>
      <x:c r="M26" s="52" t="str">
        <x:v>可得但需权限或批量检索</x:v>
      </x:c>
      <x:c r="N26" s="52" t="str">
        <x:v>高</x:v>
      </x:c>
      <x:c r="O26" s="31" t="str">
        <x:v>建议分发明专利和全部专利做敏感性检查。</x:v>
      </x:c>
    </x:row>
    <x:row r="27" ht="54" customHeight="1">
      <x:c r="A27" s="34" t="str">
        <x:v>产业系统 I</x:v>
      </x:c>
      <x:c r="B27" s="54" t="str">
        <x:v>I2_AI_PRODUCT_SERVICE</x:v>
      </x:c>
      <x:c r="C27" s="54" t="str">
        <x:v>基本口径</x:v>
      </x:c>
      <x:c r="D27" s="54" t="str">
        <x:v>AI产品/解决方案数量</x:v>
      </x:c>
      <x:c r="E27" s="54" t="str">
        <x:v>企业公开发布的AI平台、算法产品、智能解决方案数量。</x:v>
      </x:c>
      <x:c r="F27" s="54" t="str">
        <x:v>可选</x:v>
      </x:c>
      <x:c r="G27" s="54" t="str">
        <x:v>机制解释</x:v>
      </x:c>
      <x:c r="H27" s="54" t="str">
        <x:v>产品收入如来自融资披露，不放I。</x:v>
      </x:c>
      <x:c r="I27" s="54" t="str">
        <x:v>企业官网；工信厅案例；数字经济案例库</x:v>
      </x:c>
      <x:c r="J27" s="54" t="str">
        <x:v>采集企业产品页和官方案例名单，按产品/方案去重计数。</x:v>
      </x:c>
      <x:c r="K27" s="54" t="str">
        <x:v>AI平台；智能识别；智能客服；智能风控；算法平台；大模型应用</x:v>
      </x:c>
      <x:c r="L27" s="54" t="str">
        <x:v>企业-年份/省份-年份</x:v>
      </x:c>
      <x:c r="M27" s="54" t="str">
        <x:v>非结构化，需人工核验</x:v>
      </x:c>
      <x:c r="N27" s="54" t="str">
        <x:v>高</x:v>
      </x:c>
      <x:c r="O27" s="35" t="str">
        <x:v>适合案例和机制说明，作为主变量成本较高。</x:v>
      </x:c>
    </x:row>
    <x:row r="28" ht="54" customHeight="1">
      <x:c r="A28" s="30" t="str">
        <x:v>产业系统 I</x:v>
      </x:c>
      <x:c r="B28" s="52" t="str">
        <x:v>I2_AI_NEW_FIRM</x:v>
      </x:c>
      <x:c r="C28" s="52" t="str">
        <x:v>基本口径</x:v>
      </x:c>
      <x:c r="D28" s="52" t="str">
        <x:v>新增AI企业数量</x:v>
      </x:c>
      <x:c r="E28" s="52" t="str">
        <x:v>当年新注册AI相关企业数量。</x:v>
      </x:c>
      <x:c r="F28" s="52" t="str">
        <x:v>可选</x:v>
      </x:c>
      <x:c r="G28" s="52" t="str">
        <x:v>主结果增强</x:v>
      </x:c>
      <x:c r="H28" s="52" t="str">
        <x:v>注册资本不直接作为F，除非进入金融系统另算。</x:v>
      </x:c>
      <x:c r="I28" s="52" t="str">
        <x:v>企查查；天眼查；爱企查</x:v>
      </x:c>
      <x:c r="J28" s="52" t="str">
        <x:v>用成立年份字段统计AI相关企业新增数。</x:v>
      </x:c>
      <x:c r="K28" s="52" t="str">
        <x:v>AI企业关键词；成立年份；注册地</x:v>
      </x:c>
      <x:c r="L28" s="52" t="str">
        <x:v>省份-年份</x:v>
      </x:c>
      <x:c r="M28" s="52" t="str">
        <x:v>较可得</x:v>
      </x:c>
      <x:c r="N28" s="52" t="str">
        <x:v>中</x:v>
      </x:c>
      <x:c r="O28" s="31" t="str">
        <x:v>适合衡量产业活力，但需清理空壳和注销企业。</x:v>
      </x:c>
    </x:row>
    <x:row r="29" ht="54" customHeight="1">
      <x:c r="A29" s="34" t="str">
        <x:v>产业系统 I</x:v>
      </x:c>
      <x:c r="B29" s="54" t="str">
        <x:v>I2_SOFTWARE_INFO_PROXY</x:v>
      </x:c>
      <x:c r="C29" s="54" t="str">
        <x:v>基本口径</x:v>
      </x:c>
      <x:c r="D29" s="54" t="str">
        <x:v>软件和信息服务业规模代理变量</x:v>
      </x:c>
      <x:c r="E29" s="54" t="str">
        <x:v>当AI产业直接收入不可得时，用软件和信息技术服务业规模作为弱代理。</x:v>
      </x:c>
      <x:c r="F29" s="54" t="str">
        <x:v>可选</x:v>
      </x:c>
      <x:c r="G29" s="54" t="str">
        <x:v>备用变量</x:v>
      </x:c>
      <x:c r="H29" s="54" t="str">
        <x:v>该变量不能替代F，不含金融供给含义。</x:v>
      </x:c>
      <x:c r="I29" s="54" t="str">
        <x:v>统计年鉴；工信厅；软件业统计公报</x:v>
      </x:c>
      <x:c r="J29" s="54" t="str">
        <x:v>下载统计年鉴/软件业公报，提取地区软件业务收入或信息服务业增加值。</x:v>
      </x:c>
      <x:c r="K29" s="54" t="str">
        <x:v>软件业务收入；信息技术服务；数字经济核心产业</x:v>
      </x:c>
      <x:c r="L29" s="54" t="str">
        <x:v>省份-年份/城市-年份</x:v>
      </x:c>
      <x:c r="M29" s="54" t="str">
        <x:v>较可得</x:v>
      </x:c>
      <x:c r="N29" s="54" t="str">
        <x:v>中</x:v>
      </x:c>
      <x:c r="O29" s="35" t="str">
        <x:v>偏宽，需说明只是产业环境或替代指标。</x:v>
      </x:c>
    </x:row>
    <x:row r="30" ht="54" customHeight="1">
      <x:c r="A30" s="30" t="str">
        <x:v>产业系统 I</x:v>
      </x:c>
      <x:c r="B30" s="52" t="str">
        <x:v>I3_AI_SCENARIO_FIRM</x:v>
      </x:c>
      <x:c r="C30" s="52" t="str">
        <x:v>扩大口径</x:v>
      </x:c>
      <x:c r="D30" s="52" t="str">
        <x:v>AI应用场景企业数量</x:v>
      </x:c>
      <x:c r="E30" s="52" t="str">
        <x:v>纳入智慧医疗、智慧教育、智慧政务、智能制造、智慧金融等AI应用企业。</x:v>
      </x:c>
      <x:c r="F30" s="52" t="str">
        <x:v>否</x:v>
      </x:c>
      <x:c r="G30" s="52" t="str">
        <x:v>扩大口径检验</x:v>
      </x:c>
      <x:c r="H30" s="52" t="str">
        <x:v>智慧金融企业若提供融资服务应归F；若提供AI风控技术可归I。</x:v>
      </x:c>
      <x:c r="I30" s="52" t="str">
        <x:v>企查查；地方数字经济企业名单；行业协会</x:v>
      </x:c>
      <x:c r="J30" s="52" t="str">
        <x:v>按场景关键词筛选企业，人工区分“使用AI”与“提供AI产品/服务”。</x:v>
      </x:c>
      <x:c r="K30" s="52" t="str">
        <x:v>智慧医疗；智慧教育；智慧政务；智能制造；智慧金融；工业互联网</x:v>
      </x:c>
      <x:c r="L30" s="52" t="str">
        <x:v>企业-年份/省份-年份</x:v>
      </x:c>
      <x:c r="M30" s="52" t="str">
        <x:v>可得但边界争议大</x:v>
      </x:c>
      <x:c r="N30" s="52" t="str">
        <x:v>高</x:v>
      </x:c>
      <x:c r="O30" s="31" t="str">
        <x:v>只用于扩大口径检验，不建议作为主结果。</x:v>
      </x:c>
    </x:row>
    <x:row r="31" ht="54" customHeight="1">
      <x:c r="A31" s="34" t="str">
        <x:v>产业系统 I</x:v>
      </x:c>
      <x:c r="B31" s="54" t="str">
        <x:v>I3_DIGITAL_ECON_FIRM</x:v>
      </x:c>
      <x:c r="C31" s="54" t="str">
        <x:v>扩大口径</x:v>
      </x:c>
      <x:c r="D31" s="54" t="str">
        <x:v>数字经济相关企业数量</x:v>
      </x:c>
      <x:c r="E31" s="54" t="str">
        <x:v>纳入与AI扩散相关的数字经济核心产业企业。</x:v>
      </x:c>
      <x:c r="F31" s="54" t="str">
        <x:v>否</x:v>
      </x:c>
      <x:c r="G31" s="54" t="str">
        <x:v>扩大口径检验</x:v>
      </x:c>
      <x:c r="H31" s="54" t="str">
        <x:v>数字金融企业需按功能区分I或F。</x:v>
      </x:c>
      <x:c r="I31" s="54" t="str">
        <x:v>国家统计局数字经济分类；企查查；地方数字经济名单</x:v>
      </x:c>
      <x:c r="J31" s="54" t="str">
        <x:v>按数字经济产业分类和企业行业代码匹配。</x:v>
      </x:c>
      <x:c r="K31" s="54" t="str">
        <x:v>数字经济；软件服务；云计算；大数据；物联网；工业互联网</x:v>
      </x:c>
      <x:c r="L31" s="54" t="str">
        <x:v>企业-年份/省份-年份</x:v>
      </x:c>
      <x:c r="M31" s="54" t="str">
        <x:v>较可得但清洗复杂</x:v>
      </x:c>
      <x:c r="N31" s="54" t="str">
        <x:v>高</x:v>
      </x:c>
      <x:c r="O31" s="35" t="str">
        <x:v>非常宽，适合检验结论是否随外延扩大而变化。</x:v>
      </x:c>
    </x:row>
    <x:row r="32" ht="54" customHeight="1">
      <x:c r="A32" s="30" t="str">
        <x:v>产业系统 I</x:v>
      </x:c>
      <x:c r="B32" s="52" t="str">
        <x:v>I3_AI_APP_JOB</x:v>
      </x:c>
      <x:c r="C32" s="52" t="str">
        <x:v>扩大口径</x:v>
      </x:c>
      <x:c r="D32" s="52" t="str">
        <x:v>AI应用型岗位数量</x:v>
      </x:c>
      <x:c r="E32" s="52" t="str">
        <x:v>业务岗位中要求AI工具、数据分析、智能系统应用能力的岗位。</x:v>
      </x:c>
      <x:c r="F32" s="52" t="str">
        <x:v>否</x:v>
      </x:c>
      <x:c r="G32" s="52" t="str">
        <x:v>扩大口径检验</x:v>
      </x:c>
      <x:c r="H32" s="52" t="str">
        <x:v>岗位薪酬不作为金融变量。</x:v>
      </x:c>
      <x:c r="I32" s="52" t="str">
        <x:v>招聘网站；地方人才网</x:v>
      </x:c>
      <x:c r="J32" s="52" t="str">
        <x:v>在岗位描述中识别AI工具和智能化应用要求，按地区年份汇总。</x:v>
      </x:c>
      <x:c r="K32" s="52" t="str">
        <x:v>AI工具；智能系统；数据分析；自动化运营；AIGC；大模型应用</x:v>
      </x:c>
      <x:c r="L32" s="52" t="str">
        <x:v>城市-年份/省份-年份</x:v>
      </x:c>
      <x:c r="M32" s="52" t="str">
        <x:v>平台可得但清洗成本高</x:v>
      </x:c>
      <x:c r="N32" s="52" t="str">
        <x:v>高</x:v>
      </x:c>
      <x:c r="O32" s="31" t="str">
        <x:v>边界宽，适合观察AI应用扩散，不适合主模型。</x:v>
      </x:c>
    </x:row>
    <x:row r="33" ht="54" customHeight="1">
      <x:c r="A33" s="34" t="str">
        <x:v>产业系统 I</x:v>
      </x:c>
      <x:c r="B33" s="54" t="str">
        <x:v>I3_SMART_MANUFACTURING_PROJECT</x:v>
      </x:c>
      <x:c r="C33" s="54" t="str">
        <x:v>扩大口径</x:v>
      </x:c>
      <x:c r="D33" s="54" t="str">
        <x:v>智能制造/工业互联网项目数量</x:v>
      </x:c>
      <x:c r="E33" s="54" t="str">
        <x:v>地方认定的智能工厂、工业互联网、智能制造试点示范项目。</x:v>
      </x:c>
      <x:c r="F33" s="54" t="str">
        <x:v>否</x:v>
      </x:c>
      <x:c r="G33" s="54" t="str">
        <x:v>扩大口径检验</x:v>
      </x:c>
      <x:c r="H33" s="54" t="str">
        <x:v>项目补贴金额归F或政策变量，不放I。</x:v>
      </x:c>
      <x:c r="I33" s="54" t="str">
        <x:v>工信部；省工信厅；地方工信局</x:v>
      </x:c>
      <x:c r="J33" s="54" t="str">
        <x:v>下载试点示范项目名单，匹配地区和年份。</x:v>
      </x:c>
      <x:c r="K33" s="54" t="str">
        <x:v>智能制造；智能工厂；工业互联网；试点示范；数字化车间</x:v>
      </x:c>
      <x:c r="L33" s="54" t="str">
        <x:v>企业-年份/城市-年份</x:v>
      </x:c>
      <x:c r="M33" s="54" t="str">
        <x:v>名单较可得</x:v>
      </x:c>
      <x:c r="N33" s="54" t="str">
        <x:v>中</x:v>
      </x:c>
      <x:c r="O33" s="35" t="str">
        <x:v>体现AI在第二产业应用，可用于扩大口径。</x:v>
      </x:c>
    </x:row>
    <x:row r="34" ht="54" customHeight="1">
      <x:c r="A34" s="30" t="str">
        <x:v>产业系统 I</x:v>
      </x:c>
      <x:c r="B34" s="52" t="str">
        <x:v>I3_THIRD_AI_SHARE</x:v>
      </x:c>
      <x:c r="C34" s="52" t="str">
        <x:v>扩大口径</x:v>
      </x:c>
      <x:c r="D34" s="52" t="str">
        <x:v>第三产业AI应用强度</x:v>
      </x:c>
      <x:c r="E34" s="52" t="str">
        <x:v>第三产业AI企业/岗位/专利占全部AI企业/岗位/专利的比重。</x:v>
      </x:c>
      <x:c r="F34" s="52" t="str">
        <x:v>否</x:v>
      </x:c>
      <x:c r="G34" s="52" t="str">
        <x:v>异质性/产业吸纳机制</x:v>
      </x:c>
      <x:c r="H34" s="52" t="str">
        <x:v>若使用智慧金融，需剔除纯金融供给指标。</x:v>
      </x:c>
      <x:c r="I34" s="52" t="str">
        <x:v>企查查行业分类；招聘网站；专利申请人行业；统计分类</x:v>
      </x:c>
      <x:c r="J34" s="52" t="str">
        <x:v>先识别AI企业/岗位/专利，再按行业分类标记第三产业，计算占比。</x:v>
      </x:c>
      <x:c r="K34" s="52" t="str">
        <x:v>第三产业行业代码；信息服务；金融科技服务；商务服务；医疗教育政务</x:v>
      </x:c>
      <x:c r="L34" s="52" t="str">
        <x:v>省份-年份/城市-年份</x:v>
      </x:c>
      <x:c r="M34" s="52" t="str">
        <x:v>需要行业清洗</x:v>
      </x:c>
      <x:c r="N34" s="52" t="str">
        <x:v>高</x:v>
      </x:c>
      <x:c r="O34" s="31" t="str">
        <x:v>建议作为异质性变量或机制变量，不作为I本体。</x:v>
      </x:c>
    </x:row>
    <x:row r="35" ht="54" customHeight="1">
      <x:c r="A35" s="34" t="str">
        <x:v>金融系统 F</x:v>
      </x:c>
      <x:c r="B35" s="54" t="str">
        <x:v>F1_AI_FINANCING_EVENT</x:v>
      </x:c>
      <x:c r="C35" s="54" t="str">
        <x:v>保守口径</x:v>
      </x:c>
      <x:c r="D35" s="54" t="str">
        <x:v>AI企业融资事件数</x:v>
      </x:c>
      <x:c r="E35" s="54" t="str">
        <x:v>AI相关企业获得股权融资、创投融资、产业基金投资的事件数量。</x:v>
      </x:c>
      <x:c r="F35" s="54" t="str">
        <x:v>否</x:v>
      </x:c>
      <x:c r="G35" s="54" t="str">
        <x:v>保守金融检验</x:v>
      </x:c>
      <x:c r="H35" s="54" t="str">
        <x:v>必须放F，不能放入AI产业I。</x:v>
      </x:c>
      <x:c r="I35" s="54" t="str">
        <x:v>IT桔子；清科；CVSource；企查查融资；Wind/CSMAR</x:v>
      </x:c>
      <x:c r="J35" s="54" t="str">
        <x:v>识别AI企业名单后匹配融资事件，按融资年份和地区汇总。</x:v>
      </x:c>
      <x:c r="K35" s="54" t="str">
        <x:v>融资事件；人工智能；AI企业；股权融资；创投</x:v>
      </x:c>
      <x:c r="L35" s="54" t="str">
        <x:v>企业-年份/省份-年份</x:v>
      </x:c>
      <x:c r="M35" s="54" t="str">
        <x:v>部分需付费数据库</x:v>
      </x:c>
      <x:c r="N35" s="54" t="str">
        <x:v>高</x:v>
      </x:c>
      <x:c r="O35" s="35" t="str">
        <x:v>直接反映资本支持，但小地区样本可能稀疏。</x:v>
      </x:c>
    </x:row>
    <x:row r="36" ht="54" customHeight="1">
      <x:c r="A36" s="30" t="str">
        <x:v>金融系统 F</x:v>
      </x:c>
      <x:c r="B36" s="52" t="str">
        <x:v>F1_AI_FINANCING_AMOUNT</x:v>
      </x:c>
      <x:c r="C36" s="52" t="str">
        <x:v>保守口径</x:v>
      </x:c>
      <x:c r="D36" s="52" t="str">
        <x:v>AI企业融资金额</x:v>
      </x:c>
      <x:c r="E36" s="52" t="str">
        <x:v>AI企业获得的股权融资、创投、产业基金投资金额。</x:v>
      </x:c>
      <x:c r="F36" s="52" t="str">
        <x:v>否</x:v>
      </x:c>
      <x:c r="G36" s="52" t="str">
        <x:v>保守金融检验</x:v>
      </x:c>
      <x:c r="H36" s="52" t="str">
        <x:v>必须放F；若放I会造成机械相关。</x:v>
      </x:c>
      <x:c r="I36" s="52" t="str">
        <x:v>IT桔子；清科；CVSource；企业公告；Wind/CSMAR</x:v>
      </x:c>
      <x:c r="J36" s="52" t="str">
        <x:v>匹配融资事件金额，币种统一，按地区年份求和或取对数。</x:v>
      </x:c>
      <x:c r="K36" s="52" t="str">
        <x:v>人工智能融资；融资金额；创投；产业基金；AI项目</x:v>
      </x:c>
      <x:c r="L36" s="52" t="str">
        <x:v>企业-年份/省份-年份</x:v>
      </x:c>
      <x:c r="M36" s="52" t="str">
        <x:v>披露不完整</x:v>
      </x:c>
      <x:c r="N36" s="52" t="str">
        <x:v>高</x:v>
      </x:c>
      <x:c r="O36" s="31" t="str">
        <x:v>金额缺失多，可用事件数替代。</x:v>
      </x:c>
    </x:row>
    <x:row r="37" ht="54" customHeight="1">
      <x:c r="A37" s="34" t="str">
        <x:v>金融系统 F</x:v>
      </x:c>
      <x:c r="B37" s="54" t="str">
        <x:v>F1_AI_GOV_FUND_PROJECT</x:v>
      </x:c>
      <x:c r="C37" s="54" t="str">
        <x:v>保守口径</x:v>
      </x:c>
      <x:c r="D37" s="54" t="str">
        <x:v>AI相关政府基金/专项支持项目数量</x:v>
      </x:c>
      <x:c r="E37" s="54" t="str">
        <x:v>政府引导基金、科技专项、产业基金中投向AI项目的数量。</x:v>
      </x:c>
      <x:c r="F37" s="54" t="str">
        <x:v>否</x:v>
      </x:c>
      <x:c r="G37" s="54" t="str">
        <x:v>保守金融检验</x:v>
      </x:c>
      <x:c r="H37" s="54" t="str">
        <x:v>项目资金归F；项目产出另归I或E。</x:v>
      </x:c>
      <x:c r="I37" s="54" t="str">
        <x:v>省财政厅；科技厅；工信厅；政府基金公告</x:v>
      </x:c>
      <x:c r="J37" s="54" t="str">
        <x:v>下载项目公示，按AI关键词和项目承担单位地区识别。</x:v>
      </x:c>
      <x:c r="K37" s="54" t="str">
        <x:v>人工智能专项；产业基金；政府引导基金；科技计划；AI项目</x:v>
      </x:c>
      <x:c r="L37" s="54" t="str">
        <x:v>项目-年份/省份-年份</x:v>
      </x:c>
      <x:c r="M37" s="54" t="str">
        <x:v>公开但格式分散</x:v>
      </x:c>
      <x:c r="N37" s="54" t="str">
        <x:v>中-高</x:v>
      </x:c>
      <x:c r="O37" s="35" t="str">
        <x:v>政策性金融支持证据，适合补充机制。</x:v>
      </x:c>
    </x:row>
    <x:row r="38" ht="54" customHeight="1">
      <x:c r="A38" s="30" t="str">
        <x:v>金融系统 F</x:v>
      </x:c>
      <x:c r="B38" s="52" t="str">
        <x:v>F1_TECH_LOAN_AI</x:v>
      </x:c>
      <x:c r="C38" s="52" t="str">
        <x:v>保守口径</x:v>
      </x:c>
      <x:c r="D38" s="52" t="str">
        <x:v>AI/科技企业贷款余额或贷款数量</x:v>
      </x:c>
      <x:c r="E38" s="52" t="str">
        <x:v>明确面向科技型企业或AI企业的银行贷款余额、贷款户数。</x:v>
      </x:c>
      <x:c r="F38" s="52" t="str">
        <x:v>否</x:v>
      </x:c>
      <x:c r="G38" s="52" t="str">
        <x:v>保守金融检验</x:v>
      </x:c>
      <x:c r="H38" s="52" t="str">
        <x:v>贷款供给归F，不归I。</x:v>
      </x:c>
      <x:c r="I38" s="52" t="str">
        <x:v>人民银行分支机构；金融监管局；地方金融年鉴；银行社会责任报告</x:v>
      </x:c>
      <x:c r="J38" s="52" t="str">
        <x:v>从金融统计或政策报告中提取科技贷款、知识产权质押贷款等指标。</x:v>
      </x:c>
      <x:c r="K38" s="52" t="str">
        <x:v>科技贷款；知识产权质押融资；人工智能企业贷款；科技型企业贷款</x:v>
      </x:c>
      <x:c r="L38" s="52" t="str">
        <x:v>省份-年份/城市-年份</x:v>
      </x:c>
      <x:c r="M38" s="52" t="str">
        <x:v>直接AI贷款较难</x:v>
      </x:c>
      <x:c r="N38" s="52" t="str">
        <x:v>高</x:v>
      </x:c>
      <x:c r="O38" s="31" t="str">
        <x:v>如果拿不到AI专项贷款，可用科技贷款作基本口径。</x:v>
      </x:c>
    </x:row>
    <x:row r="39" ht="54" customHeight="1">
      <x:c r="A39" s="34" t="str">
        <x:v>金融系统 F</x:v>
      </x:c>
      <x:c r="B39" s="54" t="str">
        <x:v>F2_TECH_LOAN_BALANCE</x:v>
      </x:c>
      <x:c r="C39" s="54" t="str">
        <x:v>基本口径</x:v>
      </x:c>
      <x:c r="D39" s="54" t="str">
        <x:v>科技型企业贷款余额</x:v>
      </x:c>
      <x:c r="E39" s="54" t="str">
        <x:v>金融机构对科技型企业、高新技术企业、专精特新企业的贷款余额。</x:v>
      </x:c>
      <x:c r="F39" s="54" t="str">
        <x:v>是</x:v>
      </x:c>
      <x:c r="G39" s="54" t="str">
        <x:v>主结果</x:v>
      </x:c>
      <x:c r="H39" s="54" t="str">
        <x:v>归F，不能进入I。</x:v>
      </x:c>
      <x:c r="I39" s="54" t="str">
        <x:v>人民银行；地方金融监管局；统计年鉴；政府工作报告</x:v>
      </x:c>
      <x:c r="J39" s="54" t="str">
        <x:v>整理官方金融统计，按地区年份提取。</x:v>
      </x:c>
      <x:c r="K39" s="54" t="str">
        <x:v>科技型企业贷款；高新技术企业贷款；专精特新贷款；科技金融</x:v>
      </x:c>
      <x:c r="L39" s="54" t="str">
        <x:v>省份-年份/城市-年份</x:v>
      </x:c>
      <x:c r="M39" s="54" t="str">
        <x:v>部分地区公开</x:v>
      </x:c>
      <x:c r="N39" s="54" t="str">
        <x:v>中-高</x:v>
      </x:c>
      <x:c r="O39" s="35" t="str">
        <x:v>推荐作为F主变量之一。</x:v>
      </x:c>
    </x:row>
    <x:row r="40" ht="54" customHeight="1">
      <x:c r="A40" s="30" t="str">
        <x:v>金融系统 F</x:v>
      </x:c>
      <x:c r="B40" s="52" t="str">
        <x:v>F2_IP_PLEDGE_AMOUNT</x:v>
      </x:c>
      <x:c r="C40" s="52" t="str">
        <x:v>基本口径</x:v>
      </x:c>
      <x:c r="D40" s="52" t="str">
        <x:v>知识产权质押融资金额</x:v>
      </x:c>
      <x:c r="E40" s="52" t="str">
        <x:v>专利、商标等知识产权质押获得的融资金额。</x:v>
      </x:c>
      <x:c r="F40" s="52" t="str">
        <x:v>是</x:v>
      </x:c>
      <x:c r="G40" s="52" t="str">
        <x:v>主结果增强</x:v>
      </x:c>
      <x:c r="H40" s="52" t="str">
        <x:v>属于金融支持，不放入E或I。</x:v>
      </x:c>
      <x:c r="I40" s="52" t="str">
        <x:v>国家知识产权局；省市场监管局；金融监管局</x:v>
      </x:c>
      <x:c r="J40" s="52" t="str">
        <x:v>下载知识产权质押融资统计或新闻公报，按地区年份整理。</x:v>
      </x:c>
      <x:c r="K40" s="52" t="str">
        <x:v>知识产权质押融资；专利质押；融资金额</x:v>
      </x:c>
      <x:c r="L40" s="52" t="str">
        <x:v>省份-年份/城市-年份</x:v>
      </x:c>
      <x:c r="M40" s="52" t="str">
        <x:v>较可得但口径不一</x:v>
      </x:c>
      <x:c r="N40" s="52" t="str">
        <x:v>中</x:v>
      </x:c>
      <x:c r="O40" s="31" t="str">
        <x:v>非常适合解释AI专利向融资转化。</x:v>
      </x:c>
    </x:row>
    <x:row r="41" ht="54" customHeight="1">
      <x:c r="A41" s="34" t="str">
        <x:v>金融系统 F</x:v>
      </x:c>
      <x:c r="B41" s="54" t="str">
        <x:v>F2_VC_ACTIVITY</x:v>
      </x:c>
      <x:c r="C41" s="54" t="str">
        <x:v>基本口径</x:v>
      </x:c>
      <x:c r="D41" s="54" t="str">
        <x:v>创投活跃度</x:v>
      </x:c>
      <x:c r="E41" s="54" t="str">
        <x:v>区域内创投机构数量、创投事件数或创投金额。</x:v>
      </x:c>
      <x:c r="F41" s="54" t="str">
        <x:v>是</x:v>
      </x:c>
      <x:c r="G41" s="54" t="str">
        <x:v>主结果增强</x:v>
      </x:c>
      <x:c r="H41" s="54" t="str">
        <x:v>创投支持归F；被投企业数量可放I但需区分。</x:v>
      </x:c>
      <x:c r="I41" s="54" t="str">
        <x:v>清科；IT桔子；CVSource；Wind PEVC</x:v>
      </x:c>
      <x:c r="J41" s="54" t="str">
        <x:v>按投资地区、行业、年份统计创投事件或金额。</x:v>
      </x:c>
      <x:c r="K41" s="54" t="str">
        <x:v>创业投资；风险投资；股权投资；科技投资；AI投资</x:v>
      </x:c>
      <x:c r="L41" s="54" t="str">
        <x:v>省份-年份/城市-年份</x:v>
      </x:c>
      <x:c r="M41" s="54" t="str">
        <x:v>需数据库或手工整理</x:v>
      </x:c>
      <x:c r="N41" s="54" t="str">
        <x:v>高</x:v>
      </x:c>
      <x:c r="O41" s="35" t="str">
        <x:v>若AI样本过少，可用科技/数字经济创投活跃度。</x:v>
      </x:c>
    </x:row>
    <x:row r="42" ht="54" customHeight="1">
      <x:c r="A42" s="30" t="str">
        <x:v>金融系统 F</x:v>
      </x:c>
      <x:c r="B42" s="52" t="str">
        <x:v>F2_GOV_GUIDANCE_FUND</x:v>
      </x:c>
      <x:c r="C42" s="52" t="str">
        <x:v>基本口径</x:v>
      </x:c>
      <x:c r="D42" s="52" t="str">
        <x:v>政府引导基金规模</x:v>
      </x:c>
      <x:c r="E42" s="52" t="str">
        <x:v>区域政府引导基金、产业基金、科技创新基金规模或项目数。</x:v>
      </x:c>
      <x:c r="F42" s="52" t="str">
        <x:v>是</x:v>
      </x:c>
      <x:c r="G42" s="52" t="str">
        <x:v>主结果增强</x:v>
      </x:c>
      <x:c r="H42" s="52" t="str">
        <x:v>基金规模归F；基金扶持项目产出另行归属。</x:v>
      </x:c>
      <x:c r="I42" s="52" t="str">
        <x:v>财政厅；地方金融监管局；母基金研究中心；政府公告</x:v>
      </x:c>
      <x:c r="J42" s="52" t="str">
        <x:v>收集基金设立公告、基金名录和规模，按地区年份整理。</x:v>
      </x:c>
      <x:c r="K42" s="52" t="str">
        <x:v>政府引导基金；产业基金；科技创新基金；母基金</x:v>
      </x:c>
      <x:c r="L42" s="52" t="str">
        <x:v>省份-年份/城市-年份</x:v>
      </x:c>
      <x:c r="M42" s="52" t="str">
        <x:v>公开但需清洗</x:v>
      </x:c>
      <x:c r="N42" s="52" t="str">
        <x:v>中-高</x:v>
      </x:c>
      <x:c r="O42" s="31" t="str">
        <x:v>适合福建省政策金融背景。</x:v>
      </x:c>
    </x:row>
    <x:row r="43" ht="54" customHeight="1">
      <x:c r="A43" s="34" t="str">
        <x:v>金融系统 F</x:v>
      </x:c>
      <x:c r="B43" s="54" t="str">
        <x:v>F2_DIGITAL_FINANCE_INDEX</x:v>
      </x:c>
      <x:c r="C43" s="54" t="str">
        <x:v>基本口径</x:v>
      </x:c>
      <x:c r="D43" s="54" t="str">
        <x:v>数字普惠金融指数</x:v>
      </x:c>
      <x:c r="E43" s="54" t="str">
        <x:v>地区数字金融覆盖广度、使用深度、数字化程度。</x:v>
      </x:c>
      <x:c r="F43" s="54" t="str">
        <x:v>是</x:v>
      </x:c>
      <x:c r="G43" s="54" t="str">
        <x:v>主结果/控制</x:v>
      </x:c>
      <x:c r="H43" s="54" t="str">
        <x:v>金融环境指标，归F或控制变量。</x:v>
      </x:c>
      <x:c r="I43" s="54" t="str">
        <x:v>北京大学数字普惠金融指数</x:v>
      </x:c>
      <x:c r="J43" s="54" t="str">
        <x:v>下载指数数据，匹配省份/城市和年份。</x:v>
      </x:c>
      <x:c r="K43" s="54" t="str">
        <x:v>数字普惠金融指数；覆盖广度；使用深度；数字化程度</x:v>
      </x:c>
      <x:c r="L43" s="54" t="str">
        <x:v>省份-年份/城市-年份</x:v>
      </x:c>
      <x:c r="M43" s="54" t="str">
        <x:v>2011年后较可得</x:v>
      </x:c>
      <x:c r="N43" s="54" t="str">
        <x:v>低</x:v>
      </x:c>
      <x:c r="O43" s="35" t="str">
        <x:v>数据连续性好，但不是AI专项金融支持。</x:v>
      </x:c>
    </x:row>
    <x:row r="44" ht="54" customHeight="1">
      <x:c r="A44" s="30" t="str">
        <x:v>金融系统 F</x:v>
      </x:c>
      <x:c r="B44" s="52" t="str">
        <x:v>F2_FINANCIAL_DEVELOPMENT</x:v>
      </x:c>
      <x:c r="C44" s="52" t="str">
        <x:v>基本口径</x:v>
      </x:c>
      <x:c r="D44" s="52" t="str">
        <x:v>金融发展水平</x:v>
      </x:c>
      <x:c r="E44" s="52" t="str">
        <x:v>金融机构贷款余额/GDP、金融业增加值/GDP、存贷款余额等区域金融发展指标。</x:v>
      </x:c>
      <x:c r="F44" s="52" t="str">
        <x:v>可选</x:v>
      </x:c>
      <x:c r="G44" s="52" t="str">
        <x:v>主结果增强/控制</x:v>
      </x:c>
      <x:c r="H44" s="52" t="str">
        <x:v>属于F或控制变量，不能进入I。</x:v>
      </x:c>
      <x:c r="I44" s="52" t="str">
        <x:v>统计年鉴；人民银行；国家统计局；地方统计局</x:v>
      </x:c>
      <x:c r="J44" s="52" t="str">
        <x:v>从统计年鉴提取金融机构存贷款、金融业增加值、GDP。</x:v>
      </x:c>
      <x:c r="K44" s="52" t="str">
        <x:v>金融机构贷款余额；金融业增加值；存贷款余额；GDP</x:v>
      </x:c>
      <x:c r="L44" s="52" t="str">
        <x:v>省份-年份/城市-年份</x:v>
      </x:c>
      <x:c r="M44" s="52" t="str">
        <x:v>较可得</x:v>
      </x:c>
      <x:c r="N44" s="52" t="str">
        <x:v>低-中</x:v>
      </x:c>
      <x:c r="O44" s="31" t="str">
        <x:v>偏宏观，适合控制或扩大金融口径。</x:v>
      </x:c>
    </x:row>
    <x:row r="45" ht="54" customHeight="1">
      <x:c r="A45" s="34" t="str">
        <x:v>金融系统 F</x:v>
      </x:c>
      <x:c r="B45" s="54" t="str">
        <x:v>F2_CREDIT_GUARANTEE</x:v>
      </x:c>
      <x:c r="C45" s="54" t="str">
        <x:v>基本口径</x:v>
      </x:c>
      <x:c r="D45" s="54" t="str">
        <x:v>科技担保/融资担保规模</x:v>
      </x:c>
      <x:c r="E45" s="54" t="str">
        <x:v>面向科技企业、小微企业、专精特新企业的担保金额或户数。</x:v>
      </x:c>
      <x:c r="F45" s="54" t="str">
        <x:v>可选</x:v>
      </x:c>
      <x:c r="G45" s="54" t="str">
        <x:v>机制解释</x:v>
      </x:c>
      <x:c r="H45" s="54" t="str">
        <x:v>担保属于金融支持，不放I。</x:v>
      </x:c>
      <x:c r="I45" s="54" t="str">
        <x:v>融资担保公司年报；地方金融监管局；财政厅</x:v>
      </x:c>
      <x:c r="J45" s="54" t="str">
        <x:v>整理担保业务统计，尽量识别科技企业口径。</x:v>
      </x:c>
      <x:c r="K45" s="54" t="str">
        <x:v>科技担保；融资担保；知识产权担保；专精特新担保</x:v>
      </x:c>
      <x:c r="L45" s="54" t="str">
        <x:v>省份-年份/城市-年份</x:v>
      </x:c>
      <x:c r="M45" s="54" t="str">
        <x:v>部分公开</x:v>
      </x:c>
      <x:c r="N45" s="54" t="str">
        <x:v>中-高</x:v>
      </x:c>
      <x:c r="O45" s="35" t="str">
        <x:v>可解释轻资产AI企业融资约束。</x:v>
      </x:c>
    </x:row>
    <x:row r="46" ht="54" customHeight="1">
      <x:c r="A46" s="30" t="str">
        <x:v>金融系统 F</x:v>
      </x:c>
      <x:c r="B46" s="52" t="str">
        <x:v>F3_TOTAL_LOAN_GDP</x:v>
      </x:c>
      <x:c r="C46" s="52" t="str">
        <x:v>扩大口径</x:v>
      </x:c>
      <x:c r="D46" s="52" t="str">
        <x:v>金融机构贷款余额/GDP</x:v>
      </x:c>
      <x:c r="E46" s="52" t="str">
        <x:v>地区总体信贷供给强度。</x:v>
      </x:c>
      <x:c r="F46" s="52" t="str">
        <x:v>否</x:v>
      </x:c>
      <x:c r="G46" s="52" t="str">
        <x:v>扩大金融口径检验</x:v>
      </x:c>
      <x:c r="H46" s="52" t="str">
        <x:v>归F，不归产业系统。</x:v>
      </x:c>
      <x:c r="I46" s="52" t="str">
        <x:v>统计年鉴；人民银行；地方统计局</x:v>
      </x:c>
      <x:c r="J46" s="52" t="str">
        <x:v>提取贷款余额和GDP，计算比值。</x:v>
      </x:c>
      <x:c r="K46" s="52" t="str">
        <x:v>金融机构贷款余额；地区生产总值</x:v>
      </x:c>
      <x:c r="L46" s="52" t="str">
        <x:v>省份-年份/城市-年份</x:v>
      </x:c>
      <x:c r="M46" s="52" t="str">
        <x:v>较可得</x:v>
      </x:c>
      <x:c r="N46" s="52" t="str">
        <x:v>低</x:v>
      </x:c>
      <x:c r="O46" s="31" t="str">
        <x:v>口径宽，适合稳健性或控制变量。</x:v>
      </x:c>
    </x:row>
    <x:row r="47" ht="54" customHeight="1">
      <x:c r="A47" s="34" t="str">
        <x:v>金融系统 F</x:v>
      </x:c>
      <x:c r="B47" s="54" t="str">
        <x:v>F3_DEPOSIT_LOAN_SCALE</x:v>
      </x:c>
      <x:c r="C47" s="54" t="str">
        <x:v>扩大口径</x:v>
      </x:c>
      <x:c r="D47" s="54" t="str">
        <x:v>存贷款规模</x:v>
      </x:c>
      <x:c r="E47" s="54" t="str">
        <x:v>金融机构本外币存款余额、贷款余额。</x:v>
      </x:c>
      <x:c r="F47" s="54" t="str">
        <x:v>否</x:v>
      </x:c>
      <x:c r="G47" s="54" t="str">
        <x:v>扩大金融口径检验</x:v>
      </x:c>
      <x:c r="H47" s="54" t="str">
        <x:v>归F，不归I。</x:v>
      </x:c>
      <x:c r="I47" s="54" t="str">
        <x:v>统计年鉴；人民银行；地方统计局</x:v>
      </x:c>
      <x:c r="J47" s="54" t="str">
        <x:v>按地区年份提取存款和贷款余额，可标准化处理。</x:v>
      </x:c>
      <x:c r="K47" s="54" t="str">
        <x:v>本外币存款余额；本外币贷款余额；金融机构</x:v>
      </x:c>
      <x:c r="L47" s="54" t="str">
        <x:v>省份-年份/城市-年份</x:v>
      </x:c>
      <x:c r="M47" s="54" t="str">
        <x:v>较可得</x:v>
      </x:c>
      <x:c r="N47" s="54" t="str">
        <x:v>低</x:v>
      </x:c>
      <x:c r="O47" s="35" t="str">
        <x:v>反映总体金融资源，不直接代表科技金融。</x:v>
      </x:c>
    </x:row>
    <x:row r="48" ht="54" customHeight="1">
      <x:c r="A48" s="30" t="str">
        <x:v>金融系统 F</x:v>
      </x:c>
      <x:c r="B48" s="52" t="str">
        <x:v>F3_CAPITAL_MARKET</x:v>
      </x:c>
      <x:c r="C48" s="52" t="str">
        <x:v>扩大口径</x:v>
      </x:c>
      <x:c r="D48" s="52" t="str">
        <x:v>资本市场发展水平</x:v>
      </x:c>
      <x:c r="E48" s="52" t="str">
        <x:v>上市公司数量、直接融资规模、新三板/区域股权市场挂牌等。</x:v>
      </x:c>
      <x:c r="F48" s="52" t="str">
        <x:v>否</x:v>
      </x:c>
      <x:c r="G48" s="52" t="str">
        <x:v>扩大金融口径检验</x:v>
      </x:c>
      <x:c r="H48" s="52" t="str">
        <x:v>融资平台归F；上市AI企业数量可另计I但需避免重复。</x:v>
      </x:c>
      <x:c r="I48" s="52" t="str">
        <x:v>Wind；CSMAR；交易所；地方金融局</x:v>
      </x:c>
      <x:c r="J48" s="52" t="str">
        <x:v>按注册地和年份统计上市/挂牌/直接融资数据。</x:v>
      </x:c>
      <x:c r="K48" s="52" t="str">
        <x:v>上市公司；直接融资；新三板；区域股权市场；IPO</x:v>
      </x:c>
      <x:c r="L48" s="52" t="str">
        <x:v>省份-年份/城市-年份</x:v>
      </x:c>
      <x:c r="M48" s="52" t="str">
        <x:v>可得但需数据库</x:v>
      </x:c>
      <x:c r="N48" s="52" t="str">
        <x:v>中</x:v>
      </x:c>
      <x:c r="O48" s="31" t="str">
        <x:v>金融系统宽口径，适合三系统耦合检验。</x:v>
      </x:c>
    </x:row>
    <x:row r="49" ht="54" customHeight="1">
      <x:c r="A49" s="34" t="str">
        <x:v>金融系统 F</x:v>
      </x:c>
      <x:c r="B49" s="54" t="str">
        <x:v>F3_INSURANCE_GUARANTEE</x:v>
      </x:c>
      <x:c r="C49" s="54" t="str">
        <x:v>扩大口径</x:v>
      </x:c>
      <x:c r="D49" s="54" t="str">
        <x:v>保险与风险分担支持</x:v>
      </x:c>
      <x:c r="E49" s="54" t="str">
        <x:v>科技保险、研发保险、首台套保险、保证保险等风险分担工具。</x:v>
      </x:c>
      <x:c r="F49" s="54" t="str">
        <x:v>否</x:v>
      </x:c>
      <x:c r="G49" s="54" t="str">
        <x:v>扩大金融口径检验</x:v>
      </x:c>
      <x:c r="H49" s="54" t="str">
        <x:v>归F，不放I。</x:v>
      </x:c>
      <x:c r="I49" s="54" t="str">
        <x:v>保险行业协会；金融监管局；政府政策公报</x:v>
      </x:c>
      <x:c r="J49" s="54" t="str">
        <x:v>收集科技保险或首台套保险统计，按地区年份整理。</x:v>
      </x:c>
      <x:c r="K49" s="54" t="str">
        <x:v>科技保险；首台套保险；研发保险；保证保险</x:v>
      </x:c>
      <x:c r="L49" s="54" t="str">
        <x:v>省份-年份/城市-年份</x:v>
      </x:c>
      <x:c r="M49" s="54" t="str">
        <x:v>公开性一般</x:v>
      </x:c>
      <x:c r="N49" s="54" t="str">
        <x:v>高</x:v>
      </x:c>
      <x:c r="O49" s="35" t="str">
        <x:v>可解释AI产业高风险和长周期特征，但数据难。</x:v>
      </x:c>
    </x:row>
    <x:row r="50" ht="54" customHeight="1">
      <x:c r="A50" s="32" t="str">
        <x:v>金融系统 F</x:v>
      </x:c>
      <x:c r="B50" s="53" t="str">
        <x:v>F3_FINTECH_ENV</x:v>
      </x:c>
      <x:c r="C50" s="53" t="str">
        <x:v>扩大口径</x:v>
      </x:c>
      <x:c r="D50" s="53" t="str">
        <x:v>金融科技环境</x:v>
      </x:c>
      <x:c r="E50" s="53" t="str">
        <x:v>金融科技企业、金融科技试点、数字金融基础设施等区域金融数字化条件。</x:v>
      </x:c>
      <x:c r="F50" s="53" t="str">
        <x:v>否</x:v>
      </x:c>
      <x:c r="G50" s="53" t="str">
        <x:v>扩大金融口径检验</x:v>
      </x:c>
      <x:c r="H50" s="53" t="str">
        <x:v>金融科技企业若提供金融服务归F；若提供AI技术方案可作为I需明确区分。</x:v>
      </x:c>
      <x:c r="I50" s="53" t="str">
        <x:v>地方金融局；人民银行试点；企查查；政策文件</x:v>
      </x:c>
      <x:c r="J50" s="53" t="str">
        <x:v>按金融科技关键词和政策试点名单整理。</x:v>
      </x:c>
      <x:c r="K50" s="53" t="str">
        <x:v>金融科技；监管沙盒；数字金融；智能风控；科技金融平台</x:v>
      </x:c>
      <x:c r="L50" s="53" t="str">
        <x:v>省份-年份/城市-年份</x:v>
      </x:c>
      <x:c r="M50" s="53" t="str">
        <x:v>边界复杂</x:v>
      </x:c>
      <x:c r="N50" s="53" t="str">
        <x:v>高</x:v>
      </x:c>
      <x:c r="O50" s="33" t="str">
        <x:v>用于拓展金融系统，不建议放主模型。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0.09000015258789" hidden="0" customWidth="1"/>
    <x:col min="3" max="3" width="34.31999969482422" hidden="0" customWidth="1"/>
    <x:col min="4" max="4" width="34.31999969482422" hidden="0" customWidth="1"/>
    <x:col min="5" max="5" width="57.20000076293945" hidden="0" customWidth="1"/>
    <x:col min="6" max="6" width="57.20000076293945" hidden="0" customWidth="1"/>
  </x:cols>
  <x:sheetData>
    <x:row r="1" ht="25.5" customHeight="1">
      <x:c r="A1" s="4" t="str">
        <x:v>数据源与采集优先级</x:v>
      </x:c>
      <x:c r="B1" s="4" t="str"/>
      <x:c r="C1" s="4" t="str"/>
      <x:c r="D1" s="4" t="str"/>
      <x:c r="E1" s="4" t="str"/>
      <x:c r="F1" s="4" t="str"/>
    </x:row>
    <x:row r="3">
      <x:c r="A3" s="13" t="str">
        <x:v>类别</x:v>
      </x:c>
      <x:c r="B3" s="45" t="str">
        <x:v>优先级</x:v>
      </x:c>
      <x:c r="C3" s="45" t="str">
        <x:v>数据源</x:v>
      </x:c>
      <x:c r="D3" s="45" t="str">
        <x:v>适用指标</x:v>
      </x:c>
      <x:c r="E3" s="45" t="str">
        <x:v>采集动作</x:v>
      </x:c>
      <x:c r="F3" s="14" t="str">
        <x:v>注意事项</x:v>
      </x:c>
    </x:row>
    <x:row r="4" ht="54" customHeight="1">
      <x:c r="A4" s="28" t="str">
        <x:v>教育</x:v>
      </x:c>
      <x:c r="B4" s="51" t="str">
        <x:v>1</x:v>
      </x:c>
      <x:c r="C4" s="51" t="str">
        <x:v>教育部本科专业备案与审批结果</x:v>
      </x:c>
      <x:c r="D4" s="51" t="str">
        <x:v>E1/E2专业数量、高校数量</x:v>
      </x:c>
      <x:c r="E4" s="51" t="str">
        <x:v>逐年下载表格/PDF，提取学校、省份、专业名称、年度。</x:v>
      </x:c>
      <x:c r="F4" s="29" t="str">
        <x:v>以教育部正式文件为准，避免只用新闻报道。</x:v>
      </x:c>
    </x:row>
    <x:row r="5" ht="54" customHeight="1">
      <x:c r="A5" s="34" t="str">
        <x:v>教育</x:v>
      </x:c>
      <x:c r="B5" s="54" t="str">
        <x:v>2</x:v>
      </x:c>
      <x:c r="C5" s="54" t="str">
        <x:v>高校招生网/培养方案</x:v>
      </x:c>
      <x:c r="D5" s="54" t="str">
        <x:v>招生计划、课程覆盖度、AI+X课程</x:v>
      </x:c>
      <x:c r="E5" s="54" t="str">
        <x:v>按高校名单逐校抓取招生专业和培养方案。</x:v>
      </x:c>
      <x:c r="F5" s="35" t="str">
        <x:v>格式分散，建议先做样本高校。</x:v>
      </x:c>
    </x:row>
    <x:row r="6" ht="54" customHeight="1">
      <x:c r="A6" s="30" t="str">
        <x:v>教育</x:v>
      </x:c>
      <x:c r="B6" s="52" t="str">
        <x:v>3</x:v>
      </x:c>
      <x:c r="C6" s="52" t="str">
        <x:v>国务院学位委员会/研招网</x:v>
      </x:c>
      <x:c r="D6" s="52" t="str">
        <x:v>硕博点、研究方向</x:v>
      </x:c>
      <x:c r="E6" s="52" t="str">
        <x:v>下载学位授权点和招生目录，按AI方向关键词筛选。</x:v>
      </x:c>
      <x:c r="F6" s="31" t="str">
        <x:v>年度连续性较弱。</x:v>
      </x:c>
    </x:row>
    <x:row r="7" ht="54" customHeight="1">
      <x:c r="A7" s="34" t="str">
        <x:v>产业</x:v>
      </x:c>
      <x:c r="B7" s="54" t="str">
        <x:v>1</x:v>
      </x:c>
      <x:c r="C7" s="54" t="str">
        <x:v>企查查/天眼查/爱企查</x:v>
      </x:c>
      <x:c r="D7" s="54" t="str">
        <x:v>AI企业数量、新增企业、场景企业</x:v>
      </x:c>
      <x:c r="E7" s="54" t="str">
        <x:v>关键词检索+经营范围筛选+注册地/成立年汇总。</x:v>
      </x:c>
      <x:c r="F7" s="35" t="str">
        <x:v>需要剔除只蹭热点但无AI业务的企业。</x:v>
      </x:c>
    </x:row>
    <x:row r="8" ht="54" customHeight="1">
      <x:c r="A8" s="30" t="str">
        <x:v>产业</x:v>
      </x:c>
      <x:c r="B8" s="52" t="str">
        <x:v>2</x:v>
      </x:c>
      <x:c r="C8" s="52" t="str">
        <x:v>国家知识产权局/Incopat/智慧芽</x:v>
      </x:c>
      <x:c r="D8" s="52" t="str">
        <x:v>企业AI专利、高校AI专利</x:v>
      </x:c>
      <x:c r="E8" s="52" t="str">
        <x:v>按申请人类型、地区、年份和AI关键词检索。</x:v>
      </x:c>
      <x:c r="F8" s="31" t="str">
        <x:v>企业和高校专利必须分开归属。</x:v>
      </x:c>
    </x:row>
    <x:row r="9" ht="54" customHeight="1">
      <x:c r="A9" s="34" t="str">
        <x:v>产业</x:v>
      </x:c>
      <x:c r="B9" s="54" t="str">
        <x:v>3</x:v>
      </x:c>
      <x:c r="C9" s="54" t="str">
        <x:v>招聘平台</x:v>
      </x:c>
      <x:c r="D9" s="54" t="str">
        <x:v>AI岗位需求、AI应用型岗位</x:v>
      </x:c>
      <x:c r="E9" s="54" t="str">
        <x:v>按岗位关键词、城市、发布日期抓取并去重。</x:v>
      </x:c>
      <x:c r="F9" s="35" t="str">
        <x:v>注意平台合规和重复发布。</x:v>
      </x:c>
    </x:row>
    <x:row r="10" ht="54" customHeight="1">
      <x:c r="A10" s="30" t="str">
        <x:v>产业</x:v>
      </x:c>
      <x:c r="B10" s="52" t="str">
        <x:v>4</x:v>
      </x:c>
      <x:c r="C10" s="52" t="str">
        <x:v>工信厅/科技厅/网信办</x:v>
      </x:c>
      <x:c r="D10" s="52" t="str">
        <x:v>高企、算法备案、试点示范项目</x:v>
      </x:c>
      <x:c r="E10" s="52" t="str">
        <x:v>下载官方名单，匹配企业地区和年份。</x:v>
      </x:c>
      <x:c r="F10" s="31" t="str">
        <x:v>名单口径稳定，但可能年份短。</x:v>
      </x:c>
    </x:row>
    <x:row r="11" ht="54" customHeight="1">
      <x:c r="A11" s="34" t="str">
        <x:v>金融</x:v>
      </x:c>
      <x:c r="B11" s="54" t="str">
        <x:v>1</x:v>
      </x:c>
      <x:c r="C11" s="54" t="str">
        <x:v>人民银行/地方金融监管局/统计年鉴</x:v>
      </x:c>
      <x:c r="D11" s="54" t="str">
        <x:v>科技贷款、存贷款、金融发展水平</x:v>
      </x:c>
      <x:c r="E11" s="54" t="str">
        <x:v>提取地区年度金融统计指标。</x:v>
      </x:c>
      <x:c r="F11" s="35" t="str">
        <x:v>优先使用官方统计。</x:v>
      </x:c>
    </x:row>
    <x:row r="12" ht="54" customHeight="1">
      <x:c r="A12" s="30" t="str">
        <x:v>金融</x:v>
      </x:c>
      <x:c r="B12" s="52" t="str">
        <x:v>2</x:v>
      </x:c>
      <x:c r="C12" s="52" t="str">
        <x:v>北京大学数字普惠金融指数</x:v>
      </x:c>
      <x:c r="D12" s="52" t="str">
        <x:v>数字普惠金融指数</x:v>
      </x:c>
      <x:c r="E12" s="52" t="str">
        <x:v>下载省市年度指数，直接匹配面板。</x:v>
      </x:c>
      <x:c r="F12" s="31" t="str">
        <x:v>连续性好，但不是AI专项金融。</x:v>
      </x:c>
    </x:row>
    <x:row r="13" ht="54" customHeight="1">
      <x:c r="A13" s="34" t="str">
        <x:v>金融</x:v>
      </x:c>
      <x:c r="B13" s="54" t="str">
        <x:v>3</x:v>
      </x:c>
      <x:c r="C13" s="54" t="str">
        <x:v>IT桔子/清科/CVSource/Wind/CSMAR</x:v>
      </x:c>
      <x:c r="D13" s="54" t="str">
        <x:v>AI融资、创投活跃度、资本市场</x:v>
      </x:c>
      <x:c r="E13" s="54" t="str">
        <x:v>按行业、地区、年份筛选融资事件和金额。</x:v>
      </x:c>
      <x:c r="F13" s="35" t="str">
        <x:v>部分数据库付费，金额缺失需处理。</x:v>
      </x:c>
    </x:row>
    <x:row r="14" ht="54" customHeight="1">
      <x:c r="A14" s="32" t="str">
        <x:v>金融</x:v>
      </x:c>
      <x:c r="B14" s="53" t="str">
        <x:v>4</x:v>
      </x:c>
      <x:c r="C14" s="53" t="str">
        <x:v>财政厅/科技厅/政府基金公告</x:v>
      </x:c>
      <x:c r="D14" s="53" t="str">
        <x:v>政府引导基金、AI专项基金</x:v>
      </x:c>
      <x:c r="E14" s="53" t="str">
        <x:v>整理基金设立公告、项目公示和支持金额。</x:v>
      </x:c>
      <x:c r="F14" s="33" t="str">
        <x:v>项目资金与项目产出需分开归属。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9.520000457763672" hidden="0" customWidth="1"/>
    <x:col min="3" max="3" width="19.520000457763672" hidden="0" customWidth="1"/>
    <x:col min="4" max="4" width="50.470001220703125" hidden="0" customWidth="1"/>
    <x:col min="5" max="5" width="50.470001220703125" hidden="0" customWidth="1"/>
  </x:cols>
  <x:sheetData>
    <x:row r="1" ht="25.5" customHeight="1">
      <x:c r="A1" s="4" t="str">
        <x:v>系统边界约束与易混指标处理</x:v>
      </x:c>
      <x:c r="B1" s="4" t="str"/>
      <x:c r="C1" s="4" t="str"/>
      <x:c r="D1" s="4" t="str"/>
      <x:c r="E1" s="4" t="str"/>
    </x:row>
    <x:row r="3">
      <x:c r="A3" s="13" t="str">
        <x:v>容易混淆的指标</x:v>
      </x:c>
      <x:c r="B3" s="45" t="str">
        <x:v>应归属系统</x:v>
      </x:c>
      <x:c r="C3" s="45" t="str">
        <x:v>不能归属</x:v>
      </x:c>
      <x:c r="D3" s="45" t="str">
        <x:v>理由</x:v>
      </x:c>
      <x:c r="E3" s="14" t="str">
        <x:v>建议处理</x:v>
      </x:c>
    </x:row>
    <x:row r="4" ht="54" customHeight="1">
      <x:c r="A4" s="28" t="str">
        <x:v>AI企业融资金额</x:v>
      </x:c>
      <x:c r="B4" s="51" t="str">
        <x:v>金融系统 F</x:v>
      </x:c>
      <x:c r="C4" s="51" t="str">
        <x:v>产业系统 I</x:v>
      </x:c>
      <x:c r="D4" s="51" t="str">
        <x:v>融资金额反映资本支持，不是产业产出。</x:v>
      </x:c>
      <x:c r="E4" s="29" t="str">
        <x:v>放入F1或F2；I中只保留企业数量/岗位/专利。</x:v>
      </x:c>
    </x:row>
    <x:row r="5" ht="54" customHeight="1">
      <x:c r="A5" s="34" t="str">
        <x:v>AI企业融资事件数</x:v>
      </x:c>
      <x:c r="B5" s="54" t="str">
        <x:v>金融系统 F</x:v>
      </x:c>
      <x:c r="C5" s="54" t="str">
        <x:v>产业系统 I</x:v>
      </x:c>
      <x:c r="D5" s="54" t="str">
        <x:v>融资事件是金融行为，会与金融支持变量机械相关。</x:v>
      </x:c>
      <x:c r="E5" s="35" t="str">
        <x:v>作为F的保守口径或机制变量。</x:v>
      </x:c>
    </x:row>
    <x:row r="6" ht="54" customHeight="1">
      <x:c r="A6" s="30" t="str">
        <x:v>政府引导基金规模</x:v>
      </x:c>
      <x:c r="B6" s="52" t="str">
        <x:v>金融系统 F</x:v>
      </x:c>
      <x:c r="C6" s="52" t="str">
        <x:v>产业系统 I</x:v>
      </x:c>
      <x:c r="D6" s="52" t="str">
        <x:v>基金是政策性金融供给。</x:v>
      </x:c>
      <x:c r="E6" s="31" t="str">
        <x:v>放F；被投项目产出可另在I中体现。</x:v>
      </x:c>
    </x:row>
    <x:row r="7" ht="54" customHeight="1">
      <x:c r="A7" s="34" t="str">
        <x:v>高校AI专利</x:v>
      </x:c>
      <x:c r="B7" s="54" t="str">
        <x:v>教育系统 E拓展/知识产出</x:v>
      </x:c>
      <x:c r="C7" s="54" t="str">
        <x:v>产业系统 I</x:v>
      </x:c>
      <x:c r="D7" s="54" t="str">
        <x:v>申请人为高校时代表高校知识产出。</x:v>
      </x:c>
      <x:c r="E7" s="35" t="str">
        <x:v>与企业AI专利分开统计。</x:v>
      </x:c>
    </x:row>
    <x:row r="8" ht="54" customHeight="1">
      <x:c r="A8" s="30" t="str">
        <x:v>企业AI专利</x:v>
      </x:c>
      <x:c r="B8" s="52" t="str">
        <x:v>产业系统 I</x:v>
      </x:c>
      <x:c r="C8" s="52" t="str">
        <x:v>教育系统 E</x:v>
      </x:c>
      <x:c r="D8" s="52" t="str">
        <x:v>申请人为企业时代表产业技术产出。</x:v>
      </x:c>
      <x:c r="E8" s="31" t="str">
        <x:v>可作为I2核心增强指标。</x:v>
      </x:c>
    </x:row>
    <x:row r="9" ht="54" customHeight="1">
      <x:c r="A9" s="34" t="str">
        <x:v>AI+X课程</x:v>
      </x:c>
      <x:c r="B9" s="54" t="str">
        <x:v>教育系统 E扩大口径</x:v>
      </x:c>
      <x:c r="C9" s="54" t="str">
        <x:v>产业系统 I</x:v>
      </x:c>
      <x:c r="D9" s="54" t="str">
        <x:v>属于高校教育供给和课程扩散。</x:v>
      </x:c>
      <x:c r="E9" s="35" t="str">
        <x:v>用于E3，不进入主模型也可作理论证据。</x:v>
      </x:c>
    </x:row>
    <x:row r="10" ht="54" customHeight="1">
      <x:c r="A10" s="30" t="str">
        <x:v>智慧金融企业</x:v>
      </x:c>
      <x:c r="B10" s="52" t="str">
        <x:v>视功能区分</x:v>
      </x:c>
      <x:c r="C10" s="52" t="str">
        <x:v>不能自动归I或F</x:v>
      </x:c>
      <x:c r="D10" s="52" t="str">
        <x:v>提供AI风控技术可归I；提供金融服务或资本供给归F。</x:v>
      </x:c>
      <x:c r="E10" s="31" t="str">
        <x:v>按主营业务人工核验，建立排除规则。</x:v>
      </x:c>
    </x:row>
    <x:row r="11" ht="54" customHeight="1">
      <x:c r="A11" s="34" t="str">
        <x:v>第三产业AI应用强度</x:v>
      </x:c>
      <x:c r="B11" s="54" t="str">
        <x:v>机制/异质性变量</x:v>
      </x:c>
      <x:c r="C11" s="54" t="str">
        <x:v>不直接等同I</x:v>
      </x:c>
      <x:c r="D11" s="54" t="str">
        <x:v>它解释产业吸纳能力，不是AI产业发展本体。</x:v>
      </x:c>
      <x:c r="E11" s="35" t="str">
        <x:v>放第六章机制或异质性分析。</x:v>
      </x:c>
    </x:row>
    <x:row r="12" ht="54" customHeight="1">
      <x:c r="A12" s="32" t="str">
        <x:v>数字普惠金融指数</x:v>
      </x:c>
      <x:c r="B12" s="53" t="str">
        <x:v>金融系统 F/控制变量</x:v>
      </x:c>
      <x:c r="C12" s="53" t="str">
        <x:v>产业系统 I</x:v>
      </x:c>
      <x:c r="D12" s="53" t="str">
        <x:v>反映金融可得性和数字金融环境。</x:v>
      </x:c>
      <x:c r="E12" s="33" t="str">
        <x:v>可作为F2或控制变量。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</x:cols>
  <x:sheetData>
    <x:row r="1" ht="25.5" customHeight="1">
      <x:c r="A1" s="4" t="str">
        <x:v>指标数量汇总</x:v>
      </x:c>
      <x:c r="B1" s="4" t="str"/>
      <x:c r="C1" s="4" t="str"/>
      <x:c r="D1" s="4" t="str"/>
      <x:c r="E1" s="4" t="str"/>
    </x:row>
    <x:row r="3">
      <x:c r="A3" s="13" t="str">
        <x:v>系统</x:v>
      </x:c>
      <x:c r="B3" s="45" t="str">
        <x:v>保守口径</x:v>
      </x:c>
      <x:c r="C3" s="45" t="str">
        <x:v>基本口径</x:v>
      </x:c>
      <x:c r="D3" s="45" t="str">
        <x:v>扩大口径</x:v>
      </x:c>
      <x:c r="E3" s="14" t="str">
        <x:v>合计</x:v>
      </x:c>
    </x:row>
    <x:row r="4" ht="25.5" customHeight="1">
      <x:c r="A4" s="28" t="str">
        <x:v>教育系统 E</x:v>
      </x:c>
      <x:c r="B4" s="74" t="n">
        <x:f>COUNTIFS('06_总采集清单'!A:A,A4,'06_总采集清单'!C:C,"保守口径")</x:f>
        <x:v>4</x:v>
      </x:c>
      <x:c r="C4" s="75" t="n">
        <x:f>COUNTIFS('06_总采集清单'!A:A,A4,'06_总采集清单'!C:C,"基本口径")</x:f>
        <x:v>6</x:v>
      </x:c>
      <x:c r="D4" s="75" t="n">
        <x:f>COUNTIFS('06_总采集清单'!A:A,A4,'06_总采集清单'!C:C,"扩大口径")</x:f>
        <x:v>5</x:v>
      </x:c>
      <x:c r="E4" s="76" t="n">
        <x:f>SUM(B4:D4)</x:f>
        <x:v>15</x:v>
      </x:c>
    </x:row>
    <x:row r="5" ht="25.5" customHeight="1">
      <x:c r="A5" s="34" t="str">
        <x:v>产业系统 I</x:v>
      </x:c>
      <x:c r="B5" s="77" t="n">
        <x:f>COUNTIFS('06_总采集清单'!A:A,A5,'06_总采集清单'!C:C,"保守口径")</x:f>
        <x:v>4</x:v>
      </x:c>
      <x:c r="C5" s="78" t="n">
        <x:f>COUNTIFS('06_总采集清单'!A:A,A5,'06_总采集清单'!C:C,"基本口径")</x:f>
        <x:v>7</x:v>
      </x:c>
      <x:c r="D5" s="78" t="n">
        <x:f>COUNTIFS('06_总采集清单'!A:A,A5,'06_总采集清单'!C:C,"扩大口径")</x:f>
        <x:v>5</x:v>
      </x:c>
      <x:c r="E5" s="79" t="n">
        <x:f>SUM(B5:D5)</x:f>
        <x:v>16</x:v>
      </x:c>
    </x:row>
    <x:row r="6" ht="25.5" customHeight="1">
      <x:c r="A6" s="32" t="str">
        <x:v>金融系统 F</x:v>
      </x:c>
      <x:c r="B6" s="80" t="n">
        <x:f>COUNTIFS('06_总采集清单'!A:A,A6,'06_总采集清单'!C:C,"保守口径")</x:f>
        <x:v>4</x:v>
      </x:c>
      <x:c r="C6" s="81" t="n">
        <x:f>COUNTIFS('06_总采集清单'!A:A,A6,'06_总采集清单'!C:C,"基本口径")</x:f>
        <x:v>7</x:v>
      </x:c>
      <x:c r="D6" s="81" t="n">
        <x:f>COUNTIFS('06_总采集清单'!A:A,A6,'06_总采集清单'!C:C,"扩大口径")</x:f>
        <x:v>5</x:v>
      </x:c>
      <x:c r="E6" s="82" t="n">
        <x:f>SUM(B6:D6)</x:f>
        <x:v>16</x:v>
      </x:c>
    </x:row>
  </x:sheetData>
  <x:pageMargins left="0.7" right="0.7" top="0.75" bottom="0.75" header="0.3" footer="0.3"/>
</x:worksheet>
</file>